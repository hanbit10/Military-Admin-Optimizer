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daten" sheetId="1" r:id="rId5"/>
    <sheet state="visible" name="Eingabetabelle" sheetId="2" r:id="rId6"/>
    <sheet state="visible" name="Kriegsgliederung" sheetId="3" r:id="rId7"/>
  </sheets>
  <definedNames/>
  <calcPr/>
</workbook>
</file>

<file path=xl/sharedStrings.xml><?xml version="1.0" encoding="utf-8"?>
<sst xmlns="http://schemas.openxmlformats.org/spreadsheetml/2006/main" count="281" uniqueCount="135">
  <si>
    <t>Personaldaten</t>
  </si>
  <si>
    <t>Dienstgrad</t>
  </si>
  <si>
    <t>Name</t>
  </si>
  <si>
    <t>Einberufungsdatum</t>
  </si>
  <si>
    <t>Entlassungsdatum</t>
  </si>
  <si>
    <t>Dienstnummer</t>
  </si>
  <si>
    <t>Wohnanschrift</t>
  </si>
  <si>
    <t>Dienstmonate</t>
  </si>
  <si>
    <t>Fortschritt in Prozent</t>
  </si>
  <si>
    <t>Restliche Dienstzeit</t>
  </si>
  <si>
    <t>Dienstbezeichnung</t>
  </si>
  <si>
    <t>Unteroffizier</t>
  </si>
  <si>
    <t>Jonas Wagner</t>
  </si>
  <si>
    <t>Frankfurt</t>
  </si>
  <si>
    <t>Parkdienst Fuhrpark</t>
  </si>
  <si>
    <t>Moritz Klein</t>
  </si>
  <si>
    <t>Hannover</t>
  </si>
  <si>
    <t>Gefreiter vom Dienst</t>
  </si>
  <si>
    <t>Matteo Werner</t>
  </si>
  <si>
    <t>Gelsenkirchen</t>
  </si>
  <si>
    <t>Waffenreinigen</t>
  </si>
  <si>
    <t>Christian Ludwig</t>
  </si>
  <si>
    <t>Oberhausen</t>
  </si>
  <si>
    <t>Peter Graf</t>
  </si>
  <si>
    <t>Ludwigshafen</t>
  </si>
  <si>
    <t>Revierreinigen</t>
  </si>
  <si>
    <t>Stabsgefreiter</t>
  </si>
  <si>
    <t>Elias Meyer</t>
  </si>
  <si>
    <t>Köln</t>
  </si>
  <si>
    <t>Streifendienst</t>
  </si>
  <si>
    <t>Jakob Richter</t>
  </si>
  <si>
    <t>Dresden</t>
  </si>
  <si>
    <t>Fabian Lange</t>
  </si>
  <si>
    <t>Augsburg</t>
  </si>
  <si>
    <t>Wachdienst Tor</t>
  </si>
  <si>
    <t>Stefan Roth</t>
  </si>
  <si>
    <t>Halle</t>
  </si>
  <si>
    <t>Andreas Winkler</t>
  </si>
  <si>
    <t>Hagen</t>
  </si>
  <si>
    <t>Schütze</t>
  </si>
  <si>
    <t>Lukas Müller</t>
  </si>
  <si>
    <t>Aachen</t>
  </si>
  <si>
    <t>Paul Hoffmann</t>
  </si>
  <si>
    <t>Dortmund</t>
  </si>
  <si>
    <t>David Neumann</t>
  </si>
  <si>
    <t>Bochum</t>
  </si>
  <si>
    <t>Kilian Hartung</t>
  </si>
  <si>
    <t>Mannheim</t>
  </si>
  <si>
    <t>Hannes Günther</t>
  </si>
  <si>
    <t>Kiel</t>
  </si>
  <si>
    <t>Marcel Simon</t>
  </si>
  <si>
    <t>Lübeck</t>
  </si>
  <si>
    <t>Tobias Schütz</t>
  </si>
  <si>
    <t>Kassel</t>
  </si>
  <si>
    <t>Frank Voigt</t>
  </si>
  <si>
    <t>Osnabrück</t>
  </si>
  <si>
    <t>Obergefreiter</t>
  </si>
  <si>
    <t>Finn Fischer</t>
  </si>
  <si>
    <t>Hamburg</t>
  </si>
  <si>
    <t>Noah Schulz</t>
  </si>
  <si>
    <t>Düsseldorf</t>
  </si>
  <si>
    <t>Ben Bauer</t>
  </si>
  <si>
    <t>Bremen</t>
  </si>
  <si>
    <t>Nico Schwarz</t>
  </si>
  <si>
    <t>Wuppertal</t>
  </si>
  <si>
    <t>Luis Hofmann</t>
  </si>
  <si>
    <t>Karlsruhe</t>
  </si>
  <si>
    <t>Philipp Vogel</t>
  </si>
  <si>
    <t>Mönchengladbach</t>
  </si>
  <si>
    <t>Robert Kühn</t>
  </si>
  <si>
    <t>Marco Frank</t>
  </si>
  <si>
    <t>Krefeld</t>
  </si>
  <si>
    <t>Sebastian Jäger</t>
  </si>
  <si>
    <t>Rostock</t>
  </si>
  <si>
    <t>Jens Sommer</t>
  </si>
  <si>
    <t>Saarbrücken</t>
  </si>
  <si>
    <t>Jörg Seidel</t>
  </si>
  <si>
    <t>Oldenburg</t>
  </si>
  <si>
    <t>Hauptgefreiter</t>
  </si>
  <si>
    <t>Leon Weber</t>
  </si>
  <si>
    <t>München</t>
  </si>
  <si>
    <t>Anton Koch</t>
  </si>
  <si>
    <t>Essen</t>
  </si>
  <si>
    <t>Alex Schröder</t>
  </si>
  <si>
    <t>Duisburg</t>
  </si>
  <si>
    <t>Jan Krüger</t>
  </si>
  <si>
    <t>Münster</t>
  </si>
  <si>
    <t>Jannik Friedrich</t>
  </si>
  <si>
    <t>Braunschweig</t>
  </si>
  <si>
    <t>Daniel Beck</t>
  </si>
  <si>
    <t>Magdeburg</t>
  </si>
  <si>
    <t>Thomas Böhm</t>
  </si>
  <si>
    <t>Erfurt</t>
  </si>
  <si>
    <t>Holger Scholz</t>
  </si>
  <si>
    <t>Potsdam</t>
  </si>
  <si>
    <t>Klaus Hahn</t>
  </si>
  <si>
    <t>Solingen</t>
  </si>
  <si>
    <t>Gefreiter</t>
  </si>
  <si>
    <t>Maximilian Schmidt</t>
  </si>
  <si>
    <t>Berlin</t>
  </si>
  <si>
    <t>Henry Schäfer</t>
  </si>
  <si>
    <t>Leipzig</t>
  </si>
  <si>
    <t>Julian Wolf</t>
  </si>
  <si>
    <t>Nürnberg</t>
  </si>
  <si>
    <t>Erik Braun</t>
  </si>
  <si>
    <t>Bonn</t>
  </si>
  <si>
    <t>Simon Schmitt</t>
  </si>
  <si>
    <t>Wiesbaden</t>
  </si>
  <si>
    <t>Vincent Berger</t>
  </si>
  <si>
    <t>Chemnitz</t>
  </si>
  <si>
    <t>Kevin Lorenz</t>
  </si>
  <si>
    <t>Freiburg</t>
  </si>
  <si>
    <t>Patrick Krause</t>
  </si>
  <si>
    <t>Mainz</t>
  </si>
  <si>
    <t>Michael Otto</t>
  </si>
  <si>
    <t>Hamm</t>
  </si>
  <si>
    <t>Uwe Jung</t>
  </si>
  <si>
    <t>Mülheim</t>
  </si>
  <si>
    <t>Feldwebel</t>
  </si>
  <si>
    <t>Tim Zimmermann</t>
  </si>
  <si>
    <t>Bielefeld</t>
  </si>
  <si>
    <t>Fahnenjunker</t>
  </si>
  <si>
    <t>Felix Becker</t>
  </si>
  <si>
    <t>Stuttgart</t>
  </si>
  <si>
    <t>Eingabetabelle</t>
  </si>
  <si>
    <t>Gruppe1</t>
  </si>
  <si>
    <t>Gruppe 2</t>
  </si>
  <si>
    <t>Gruppe 3</t>
  </si>
  <si>
    <t>Gruppe 4</t>
  </si>
  <si>
    <t>Gruppe 5</t>
  </si>
  <si>
    <t>Gruppe 6</t>
  </si>
  <si>
    <t>Gruppe 7</t>
  </si>
  <si>
    <t>Gruppe 8</t>
  </si>
  <si>
    <t>Gruppe 9</t>
  </si>
  <si>
    <t>Kompanie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</si>
</sst>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.MM.yyyy"/>
    <numFmt numFmtId="166" formatCode="dd.mm.yyyy"/>
    <numFmt numFmtId="167" formatCode="d/m/yyyy"/>
  </numFmts>
  <fonts count="6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0" fillId="0" fontId="3" numFmtId="49" xfId="0" applyAlignment="1" applyFont="1" applyNumberFormat="1">
      <alignment horizontal="center" readingOrder="0"/>
    </xf>
    <xf borderId="0" fillId="0" fontId="5" numFmtId="1" xfId="0" applyFont="1" applyNumberFormat="1"/>
    <xf borderId="0" fillId="0" fontId="5" numFmtId="10" xfId="0" applyFont="1" applyNumberForma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2" fontId="5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7.75"/>
    <col customWidth="1" min="4" max="4" width="17.5"/>
    <col customWidth="1" min="6" max="6" width="19.38"/>
    <col customWidth="1" min="8" max="8" width="20.0"/>
    <col customWidth="1" min="9" max="9" width="17.38"/>
    <col customWidth="1" min="10" max="10" width="24.88"/>
  </cols>
  <sheetData>
    <row r="1" ht="28.5" customHeight="1">
      <c r="D1" s="1" t="s">
        <v>0</v>
      </c>
      <c r="K1" s="2"/>
      <c r="L1" s="3"/>
      <c r="M1" s="3"/>
    </row>
    <row r="2" ht="17.25" customHeight="1">
      <c r="K2" s="3"/>
      <c r="L2" s="3"/>
      <c r="M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3"/>
      <c r="L3" s="3"/>
      <c r="M3" s="3"/>
      <c r="P3" s="6"/>
      <c r="Q3" s="6"/>
    </row>
    <row r="4">
      <c r="A4" s="2" t="s">
        <v>11</v>
      </c>
      <c r="B4" s="3" t="s">
        <v>12</v>
      </c>
      <c r="C4" s="7">
        <v>45641.0</v>
      </c>
      <c r="D4" s="8">
        <v>46188.0</v>
      </c>
      <c r="E4" s="3">
        <v>778.0</v>
      </c>
      <c r="F4" s="9" t="s">
        <v>13</v>
      </c>
      <c r="G4" s="10">
        <f t="shared" ref="G4:G53" si="1">DATEDIF(C4, TODAY(), "m")</f>
        <v>15</v>
      </c>
      <c r="H4" s="11">
        <f t="shared" ref="H4:H53" si="2">DATEDIF(C4,TODAY(),"d")/DATEDIF(C4,D4,"d")</f>
        <v>0.8464351005</v>
      </c>
      <c r="I4" s="10">
        <f t="shared" ref="I4:I53" si="3">DATEDIF(TODAY(), D4, "d")</f>
        <v>84</v>
      </c>
      <c r="J4" s="3" t="s">
        <v>14</v>
      </c>
      <c r="K4" s="3"/>
      <c r="L4" s="3"/>
      <c r="M4" s="3"/>
      <c r="P4" s="6"/>
      <c r="Q4" s="6"/>
    </row>
    <row r="5">
      <c r="A5" s="2" t="s">
        <v>11</v>
      </c>
      <c r="B5" s="3" t="s">
        <v>15</v>
      </c>
      <c r="C5" s="7">
        <v>45762.0</v>
      </c>
      <c r="D5" s="7">
        <v>46310.0</v>
      </c>
      <c r="E5" s="3">
        <v>734.0</v>
      </c>
      <c r="F5" s="9" t="s">
        <v>16</v>
      </c>
      <c r="G5" s="10">
        <f t="shared" si="1"/>
        <v>11</v>
      </c>
      <c r="H5" s="11">
        <f t="shared" si="2"/>
        <v>0.6240875912</v>
      </c>
      <c r="I5" s="10">
        <f t="shared" si="3"/>
        <v>206</v>
      </c>
      <c r="J5" s="3" t="s">
        <v>17</v>
      </c>
      <c r="K5" s="3"/>
      <c r="L5" s="3"/>
      <c r="M5" s="3"/>
      <c r="P5" s="6"/>
      <c r="Q5" s="6"/>
    </row>
    <row r="6">
      <c r="A6" s="2" t="s">
        <v>11</v>
      </c>
      <c r="B6" s="3" t="s">
        <v>18</v>
      </c>
      <c r="C6" s="7">
        <v>45945.0</v>
      </c>
      <c r="D6" s="7">
        <v>46492.0</v>
      </c>
      <c r="E6" s="3">
        <v>954.0</v>
      </c>
      <c r="F6" s="9" t="s">
        <v>19</v>
      </c>
      <c r="G6" s="10">
        <f t="shared" si="1"/>
        <v>5</v>
      </c>
      <c r="H6" s="11">
        <f t="shared" si="2"/>
        <v>0.2906764168</v>
      </c>
      <c r="I6" s="10">
        <f t="shared" si="3"/>
        <v>388</v>
      </c>
      <c r="J6" s="3" t="s">
        <v>20</v>
      </c>
      <c r="K6" s="2"/>
      <c r="L6" s="3"/>
      <c r="M6" s="3"/>
    </row>
    <row r="7">
      <c r="A7" s="2" t="s">
        <v>11</v>
      </c>
      <c r="B7" s="3" t="s">
        <v>21</v>
      </c>
      <c r="C7" s="7">
        <v>45748.0</v>
      </c>
      <c r="D7" s="7">
        <v>46296.0</v>
      </c>
      <c r="E7" s="3">
        <v>355.0</v>
      </c>
      <c r="F7" s="9" t="s">
        <v>22</v>
      </c>
      <c r="G7" s="10">
        <f t="shared" si="1"/>
        <v>11</v>
      </c>
      <c r="H7" s="11">
        <f t="shared" si="2"/>
        <v>0.6496350365</v>
      </c>
      <c r="I7" s="10">
        <f t="shared" si="3"/>
        <v>192</v>
      </c>
      <c r="J7" s="3" t="s">
        <v>17</v>
      </c>
      <c r="K7" s="3"/>
      <c r="L7" s="3"/>
      <c r="M7" s="3"/>
    </row>
    <row r="8">
      <c r="A8" s="2" t="s">
        <v>11</v>
      </c>
      <c r="B8" s="3" t="s">
        <v>23</v>
      </c>
      <c r="C8" s="12">
        <v>45884.0</v>
      </c>
      <c r="D8" s="7">
        <v>46433.0</v>
      </c>
      <c r="E8" s="3">
        <v>981.0</v>
      </c>
      <c r="F8" s="9" t="s">
        <v>24</v>
      </c>
      <c r="G8" s="10">
        <f t="shared" si="1"/>
        <v>7</v>
      </c>
      <c r="H8" s="11">
        <f t="shared" si="2"/>
        <v>0.4007285974</v>
      </c>
      <c r="I8" s="10">
        <f t="shared" si="3"/>
        <v>329</v>
      </c>
      <c r="J8" s="3" t="s">
        <v>25</v>
      </c>
      <c r="K8" s="3"/>
      <c r="L8" s="3"/>
      <c r="M8" s="3"/>
      <c r="P8" s="6"/>
      <c r="Q8" s="6"/>
    </row>
    <row r="9">
      <c r="A9" s="2" t="s">
        <v>26</v>
      </c>
      <c r="B9" s="3" t="s">
        <v>27</v>
      </c>
      <c r="C9" s="7">
        <v>45627.0</v>
      </c>
      <c r="D9" s="7">
        <v>46174.0</v>
      </c>
      <c r="E9" s="3">
        <v>156.0</v>
      </c>
      <c r="F9" s="9" t="s">
        <v>28</v>
      </c>
      <c r="G9" s="10">
        <f t="shared" si="1"/>
        <v>15</v>
      </c>
      <c r="H9" s="11">
        <f t="shared" si="2"/>
        <v>0.8720292505</v>
      </c>
      <c r="I9" s="10">
        <f t="shared" si="3"/>
        <v>70</v>
      </c>
      <c r="J9" s="3" t="s">
        <v>29</v>
      </c>
      <c r="K9" s="3"/>
      <c r="L9" s="3"/>
      <c r="M9" s="3"/>
      <c r="P9" s="6"/>
      <c r="Q9" s="6"/>
    </row>
    <row r="10">
      <c r="A10" s="2" t="s">
        <v>26</v>
      </c>
      <c r="B10" s="3" t="s">
        <v>30</v>
      </c>
      <c r="C10" s="7">
        <v>45748.0</v>
      </c>
      <c r="D10" s="7">
        <v>46296.0</v>
      </c>
      <c r="E10" s="3">
        <v>202.0</v>
      </c>
      <c r="F10" s="9" t="s">
        <v>31</v>
      </c>
      <c r="G10" s="10">
        <f t="shared" si="1"/>
        <v>11</v>
      </c>
      <c r="H10" s="11">
        <f t="shared" si="2"/>
        <v>0.6496350365</v>
      </c>
      <c r="I10" s="10">
        <f t="shared" si="3"/>
        <v>192</v>
      </c>
      <c r="J10" s="3" t="s">
        <v>29</v>
      </c>
      <c r="K10" s="3"/>
      <c r="L10" s="3"/>
      <c r="M10" s="3"/>
      <c r="P10" s="6"/>
      <c r="Q10" s="6"/>
    </row>
    <row r="11">
      <c r="A11" s="2" t="s">
        <v>26</v>
      </c>
      <c r="B11" s="3" t="s">
        <v>32</v>
      </c>
      <c r="C11" s="7">
        <v>45915.0</v>
      </c>
      <c r="D11" s="7">
        <v>46461.0</v>
      </c>
      <c r="E11" s="3">
        <v>694.0</v>
      </c>
      <c r="F11" s="9" t="s">
        <v>33</v>
      </c>
      <c r="G11" s="10">
        <f t="shared" si="1"/>
        <v>6</v>
      </c>
      <c r="H11" s="11">
        <f t="shared" si="2"/>
        <v>0.3461538462</v>
      </c>
      <c r="I11" s="10">
        <f t="shared" si="3"/>
        <v>357</v>
      </c>
      <c r="J11" s="3" t="s">
        <v>34</v>
      </c>
      <c r="K11" s="3"/>
      <c r="L11" s="3"/>
      <c r="M11" s="3"/>
    </row>
    <row r="12">
      <c r="A12" s="2" t="s">
        <v>26</v>
      </c>
      <c r="B12" s="3" t="s">
        <v>35</v>
      </c>
      <c r="C12" s="7">
        <v>46037.0</v>
      </c>
      <c r="D12" s="7">
        <v>46583.0</v>
      </c>
      <c r="E12" s="3">
        <v>299.0</v>
      </c>
      <c r="F12" s="9" t="s">
        <v>36</v>
      </c>
      <c r="G12" s="10">
        <f t="shared" si="1"/>
        <v>2</v>
      </c>
      <c r="H12" s="11">
        <f t="shared" si="2"/>
        <v>0.1227106227</v>
      </c>
      <c r="I12" s="10">
        <f t="shared" si="3"/>
        <v>479</v>
      </c>
      <c r="J12" s="3" t="s">
        <v>17</v>
      </c>
      <c r="K12" s="2"/>
      <c r="L12" s="3"/>
      <c r="M12" s="3"/>
    </row>
    <row r="13">
      <c r="A13" s="2" t="s">
        <v>26</v>
      </c>
      <c r="B13" s="3" t="s">
        <v>37</v>
      </c>
      <c r="C13" s="7">
        <v>45823.0</v>
      </c>
      <c r="D13" s="7">
        <v>46736.0</v>
      </c>
      <c r="E13" s="3">
        <v>896.0</v>
      </c>
      <c r="F13" s="9" t="s">
        <v>38</v>
      </c>
      <c r="G13" s="10">
        <f t="shared" si="1"/>
        <v>9</v>
      </c>
      <c r="H13" s="11">
        <f t="shared" si="2"/>
        <v>0.3077765608</v>
      </c>
      <c r="I13" s="10">
        <f t="shared" si="3"/>
        <v>632</v>
      </c>
      <c r="J13" s="3" t="s">
        <v>34</v>
      </c>
      <c r="K13" s="3"/>
      <c r="L13" s="3"/>
      <c r="M13" s="3"/>
      <c r="P13" s="3"/>
      <c r="Q13" s="3"/>
      <c r="R13" s="3"/>
    </row>
    <row r="14">
      <c r="A14" s="2" t="s">
        <v>39</v>
      </c>
      <c r="B14" s="3" t="s">
        <v>40</v>
      </c>
      <c r="C14" s="7">
        <v>45566.0</v>
      </c>
      <c r="D14" s="7">
        <v>46113.0</v>
      </c>
      <c r="E14" s="3">
        <v>245.0</v>
      </c>
      <c r="F14" s="9" t="s">
        <v>41</v>
      </c>
      <c r="G14" s="10">
        <f t="shared" si="1"/>
        <v>17</v>
      </c>
      <c r="H14" s="11">
        <f t="shared" si="2"/>
        <v>0.9835466179</v>
      </c>
      <c r="I14" s="10">
        <f t="shared" si="3"/>
        <v>9</v>
      </c>
      <c r="J14" s="3" t="s">
        <v>34</v>
      </c>
      <c r="K14" s="3"/>
      <c r="L14" s="3"/>
      <c r="M14" s="3"/>
      <c r="P14" s="13"/>
      <c r="Q14" s="6"/>
    </row>
    <row r="15">
      <c r="A15" s="2" t="s">
        <v>39</v>
      </c>
      <c r="B15" s="3" t="s">
        <v>42</v>
      </c>
      <c r="C15" s="7">
        <v>45689.0</v>
      </c>
      <c r="D15" s="7">
        <v>46235.0</v>
      </c>
      <c r="E15" s="3">
        <v>289.0</v>
      </c>
      <c r="F15" s="9" t="s">
        <v>43</v>
      </c>
      <c r="G15" s="10">
        <f t="shared" si="1"/>
        <v>13</v>
      </c>
      <c r="H15" s="11">
        <f t="shared" si="2"/>
        <v>0.7600732601</v>
      </c>
      <c r="I15" s="10">
        <f t="shared" si="3"/>
        <v>131</v>
      </c>
      <c r="J15" s="3" t="s">
        <v>29</v>
      </c>
      <c r="K15" s="3"/>
      <c r="L15" s="3"/>
      <c r="M15" s="3"/>
      <c r="P15" s="6"/>
      <c r="Q15" s="6"/>
    </row>
    <row r="16">
      <c r="A16" s="2" t="s">
        <v>39</v>
      </c>
      <c r="B16" s="3" t="s">
        <v>44</v>
      </c>
      <c r="C16" s="7">
        <v>45809.0</v>
      </c>
      <c r="D16" s="7">
        <v>46357.0</v>
      </c>
      <c r="E16" s="3">
        <v>467.0</v>
      </c>
      <c r="F16" s="9" t="s">
        <v>45</v>
      </c>
      <c r="G16" s="10">
        <f t="shared" si="1"/>
        <v>9</v>
      </c>
      <c r="H16" s="11">
        <f t="shared" si="2"/>
        <v>0.5383211679</v>
      </c>
      <c r="I16" s="10">
        <f t="shared" si="3"/>
        <v>253</v>
      </c>
      <c r="J16" s="3" t="s">
        <v>14</v>
      </c>
      <c r="K16" s="3"/>
      <c r="L16" s="3"/>
      <c r="M16" s="3"/>
      <c r="P16" s="6"/>
      <c r="Q16" s="6"/>
    </row>
    <row r="17">
      <c r="A17" s="2" t="s">
        <v>39</v>
      </c>
      <c r="B17" s="3" t="s">
        <v>46</v>
      </c>
      <c r="C17" s="7">
        <v>45901.0</v>
      </c>
      <c r="D17" s="7">
        <v>46447.0</v>
      </c>
      <c r="E17" s="3">
        <v>277.0</v>
      </c>
      <c r="F17" s="9" t="s">
        <v>47</v>
      </c>
      <c r="G17" s="10">
        <f t="shared" si="1"/>
        <v>6</v>
      </c>
      <c r="H17" s="11">
        <f t="shared" si="2"/>
        <v>0.3717948718</v>
      </c>
      <c r="I17" s="10">
        <f t="shared" si="3"/>
        <v>343</v>
      </c>
      <c r="J17" s="3" t="s">
        <v>14</v>
      </c>
      <c r="K17" s="3"/>
      <c r="L17" s="3"/>
      <c r="M17" s="3"/>
      <c r="P17" s="6"/>
      <c r="Q17" s="6"/>
    </row>
    <row r="18">
      <c r="A18" s="2" t="s">
        <v>39</v>
      </c>
      <c r="B18" s="3" t="s">
        <v>48</v>
      </c>
      <c r="C18" s="7">
        <v>45992.0</v>
      </c>
      <c r="D18" s="7">
        <v>46539.0</v>
      </c>
      <c r="E18" s="3">
        <v>726.0</v>
      </c>
      <c r="F18" s="9" t="s">
        <v>49</v>
      </c>
      <c r="G18" s="10">
        <f t="shared" si="1"/>
        <v>3</v>
      </c>
      <c r="H18" s="11">
        <f t="shared" si="2"/>
        <v>0.2047531993</v>
      </c>
      <c r="I18" s="10">
        <f t="shared" si="3"/>
        <v>435</v>
      </c>
      <c r="J18" s="3" t="s">
        <v>14</v>
      </c>
      <c r="K18" s="3"/>
      <c r="L18" s="3"/>
      <c r="M18" s="3"/>
      <c r="P18" s="6"/>
      <c r="Q18" s="6"/>
    </row>
    <row r="19">
      <c r="A19" s="2" t="s">
        <v>39</v>
      </c>
      <c r="B19" s="3" t="s">
        <v>50</v>
      </c>
      <c r="C19" s="7">
        <v>46096.0</v>
      </c>
      <c r="D19" s="7">
        <v>46645.0</v>
      </c>
      <c r="E19" s="3">
        <v>932.0</v>
      </c>
      <c r="F19" s="9" t="s">
        <v>51</v>
      </c>
      <c r="G19" s="10">
        <f t="shared" si="1"/>
        <v>0</v>
      </c>
      <c r="H19" s="11">
        <f t="shared" si="2"/>
        <v>0.014571949</v>
      </c>
      <c r="I19" s="10">
        <f t="shared" si="3"/>
        <v>541</v>
      </c>
      <c r="J19" s="3" t="s">
        <v>34</v>
      </c>
      <c r="K19" s="2"/>
      <c r="L19" s="3"/>
      <c r="M19" s="3"/>
    </row>
    <row r="20">
      <c r="A20" s="2" t="s">
        <v>39</v>
      </c>
      <c r="B20" s="3" t="s">
        <v>52</v>
      </c>
      <c r="C20" s="7">
        <v>45809.0</v>
      </c>
      <c r="D20" s="7">
        <v>46722.0</v>
      </c>
      <c r="E20" s="3">
        <v>109.0</v>
      </c>
      <c r="F20" s="9" t="s">
        <v>53</v>
      </c>
      <c r="G20" s="10">
        <f t="shared" si="1"/>
        <v>9</v>
      </c>
      <c r="H20" s="11">
        <f t="shared" si="2"/>
        <v>0.3231106243</v>
      </c>
      <c r="I20" s="10">
        <f t="shared" si="3"/>
        <v>618</v>
      </c>
      <c r="J20" s="3" t="s">
        <v>14</v>
      </c>
      <c r="K20" s="2"/>
      <c r="L20" s="3"/>
      <c r="M20" s="3"/>
    </row>
    <row r="21">
      <c r="A21" s="2" t="s">
        <v>39</v>
      </c>
      <c r="B21" s="3" t="s">
        <v>54</v>
      </c>
      <c r="C21" s="7">
        <v>45931.0</v>
      </c>
      <c r="D21" s="7">
        <v>46478.0</v>
      </c>
      <c r="E21" s="3">
        <v>178.0</v>
      </c>
      <c r="F21" s="9" t="s">
        <v>55</v>
      </c>
      <c r="G21" s="10">
        <f t="shared" si="1"/>
        <v>5</v>
      </c>
      <c r="H21" s="11">
        <f t="shared" si="2"/>
        <v>0.3162705667</v>
      </c>
      <c r="I21" s="10">
        <f t="shared" si="3"/>
        <v>374</v>
      </c>
      <c r="J21" s="3" t="s">
        <v>29</v>
      </c>
      <c r="K21" s="3"/>
      <c r="L21" s="3"/>
      <c r="M21" s="3"/>
    </row>
    <row r="22">
      <c r="A22" s="2" t="s">
        <v>56</v>
      </c>
      <c r="B22" s="3" t="s">
        <v>57</v>
      </c>
      <c r="C22" s="7">
        <v>45597.0</v>
      </c>
      <c r="D22" s="7">
        <v>46143.0</v>
      </c>
      <c r="E22" s="3">
        <v>334.0</v>
      </c>
      <c r="F22" s="9" t="s">
        <v>58</v>
      </c>
      <c r="G22" s="10">
        <f t="shared" si="1"/>
        <v>16</v>
      </c>
      <c r="H22" s="11">
        <f t="shared" si="2"/>
        <v>0.9285714286</v>
      </c>
      <c r="I22" s="10">
        <f t="shared" si="3"/>
        <v>39</v>
      </c>
      <c r="J22" s="3" t="s">
        <v>17</v>
      </c>
      <c r="K22" s="3"/>
      <c r="L22" s="3"/>
      <c r="M22" s="3"/>
      <c r="P22" s="6"/>
      <c r="Q22" s="6"/>
    </row>
    <row r="23">
      <c r="A23" s="2" t="s">
        <v>56</v>
      </c>
      <c r="B23" s="3" t="s">
        <v>59</v>
      </c>
      <c r="C23" s="7">
        <v>45672.0</v>
      </c>
      <c r="D23" s="7">
        <v>46218.0</v>
      </c>
      <c r="E23" s="3">
        <v>651.0</v>
      </c>
      <c r="F23" s="9" t="s">
        <v>60</v>
      </c>
      <c r="G23" s="10">
        <f t="shared" si="1"/>
        <v>14</v>
      </c>
      <c r="H23" s="11">
        <f t="shared" si="2"/>
        <v>0.7912087912</v>
      </c>
      <c r="I23" s="10">
        <f t="shared" si="3"/>
        <v>114</v>
      </c>
      <c r="J23" s="3" t="s">
        <v>17</v>
      </c>
      <c r="K23" s="3"/>
      <c r="L23" s="3"/>
      <c r="M23" s="3"/>
      <c r="P23" s="6"/>
      <c r="Q23" s="6"/>
    </row>
    <row r="24">
      <c r="A24" s="2" t="s">
        <v>56</v>
      </c>
      <c r="B24" s="3" t="s">
        <v>61</v>
      </c>
      <c r="C24" s="7">
        <v>45731.0</v>
      </c>
      <c r="D24" s="7">
        <v>46280.0</v>
      </c>
      <c r="E24" s="3">
        <v>845.0</v>
      </c>
      <c r="F24" s="9" t="s">
        <v>62</v>
      </c>
      <c r="G24" s="10">
        <f t="shared" si="1"/>
        <v>12</v>
      </c>
      <c r="H24" s="11">
        <f t="shared" si="2"/>
        <v>0.679417122</v>
      </c>
      <c r="I24" s="10">
        <f t="shared" si="3"/>
        <v>176</v>
      </c>
      <c r="J24" s="3" t="s">
        <v>34</v>
      </c>
      <c r="K24" s="3"/>
      <c r="L24" s="3"/>
      <c r="M24" s="3"/>
      <c r="P24" s="6"/>
      <c r="Q24" s="6"/>
    </row>
    <row r="25">
      <c r="A25" s="2" t="s">
        <v>56</v>
      </c>
      <c r="B25" s="3" t="s">
        <v>63</v>
      </c>
      <c r="C25" s="7">
        <v>45823.0</v>
      </c>
      <c r="D25" s="7">
        <v>46371.0</v>
      </c>
      <c r="E25" s="3">
        <v>621.0</v>
      </c>
      <c r="F25" s="9" t="s">
        <v>64</v>
      </c>
      <c r="G25" s="10">
        <f t="shared" si="1"/>
        <v>9</v>
      </c>
      <c r="H25" s="11">
        <f t="shared" si="2"/>
        <v>0.5127737226</v>
      </c>
      <c r="I25" s="10">
        <f t="shared" si="3"/>
        <v>267</v>
      </c>
      <c r="J25" s="3" t="s">
        <v>34</v>
      </c>
      <c r="K25" s="3"/>
      <c r="L25" s="3"/>
      <c r="M25" s="3"/>
      <c r="P25" s="6"/>
      <c r="Q25" s="13"/>
    </row>
    <row r="26">
      <c r="A26" s="2" t="s">
        <v>56</v>
      </c>
      <c r="B26" s="3" t="s">
        <v>65</v>
      </c>
      <c r="C26" s="7">
        <v>45884.0</v>
      </c>
      <c r="D26" s="7">
        <v>46433.0</v>
      </c>
      <c r="E26" s="3">
        <v>556.0</v>
      </c>
      <c r="F26" s="9" t="s">
        <v>66</v>
      </c>
      <c r="G26" s="10">
        <f t="shared" si="1"/>
        <v>7</v>
      </c>
      <c r="H26" s="11">
        <f t="shared" si="2"/>
        <v>0.4007285974</v>
      </c>
      <c r="I26" s="10">
        <f t="shared" si="3"/>
        <v>329</v>
      </c>
      <c r="J26" s="3" t="s">
        <v>25</v>
      </c>
      <c r="K26" s="3"/>
      <c r="L26" s="3"/>
      <c r="M26" s="3"/>
      <c r="P26" s="6"/>
      <c r="Q26" s="13"/>
    </row>
    <row r="27">
      <c r="A27" s="2" t="s">
        <v>56</v>
      </c>
      <c r="B27" s="3" t="s">
        <v>67</v>
      </c>
      <c r="C27" s="7">
        <v>45962.0</v>
      </c>
      <c r="D27" s="7">
        <v>46508.0</v>
      </c>
      <c r="E27" s="3">
        <v>481.0</v>
      </c>
      <c r="F27" s="9" t="s">
        <v>68</v>
      </c>
      <c r="G27" s="10">
        <f t="shared" si="1"/>
        <v>4</v>
      </c>
      <c r="H27" s="11">
        <f t="shared" si="2"/>
        <v>0.2600732601</v>
      </c>
      <c r="I27" s="10">
        <f t="shared" si="3"/>
        <v>404</v>
      </c>
      <c r="J27" s="3" t="s">
        <v>29</v>
      </c>
      <c r="K27" s="3"/>
      <c r="L27" s="3"/>
      <c r="M27" s="3"/>
      <c r="P27" s="6"/>
      <c r="Q27" s="6"/>
    </row>
    <row r="28">
      <c r="A28" s="2" t="s">
        <v>56</v>
      </c>
      <c r="B28" s="3" t="s">
        <v>69</v>
      </c>
      <c r="C28" s="7">
        <v>46023.0</v>
      </c>
      <c r="D28" s="7">
        <v>46569.0</v>
      </c>
      <c r="E28" s="3">
        <v>811.0</v>
      </c>
      <c r="F28" s="9" t="s">
        <v>41</v>
      </c>
      <c r="G28" s="10">
        <f t="shared" si="1"/>
        <v>2</v>
      </c>
      <c r="H28" s="11">
        <f t="shared" si="2"/>
        <v>0.1483516484</v>
      </c>
      <c r="I28" s="10">
        <f t="shared" si="3"/>
        <v>465</v>
      </c>
      <c r="J28" s="3" t="s">
        <v>29</v>
      </c>
      <c r="K28" s="3"/>
      <c r="L28" s="3"/>
      <c r="M28" s="3"/>
      <c r="P28" s="6"/>
      <c r="Q28" s="6"/>
    </row>
    <row r="29">
      <c r="A29" s="2" t="s">
        <v>56</v>
      </c>
      <c r="B29" s="3" t="s">
        <v>70</v>
      </c>
      <c r="C29" s="7">
        <v>46082.0</v>
      </c>
      <c r="D29" s="7">
        <v>46631.0</v>
      </c>
      <c r="E29" s="3">
        <v>187.0</v>
      </c>
      <c r="F29" s="9" t="s">
        <v>71</v>
      </c>
      <c r="G29" s="10">
        <f t="shared" si="1"/>
        <v>0</v>
      </c>
      <c r="H29" s="11">
        <f t="shared" si="2"/>
        <v>0.04007285974</v>
      </c>
      <c r="I29" s="10">
        <f t="shared" si="3"/>
        <v>527</v>
      </c>
      <c r="J29" s="3" t="s">
        <v>14</v>
      </c>
      <c r="K29" s="3"/>
      <c r="L29" s="3"/>
      <c r="M29" s="3"/>
      <c r="P29" s="6"/>
      <c r="Q29" s="6"/>
    </row>
    <row r="30">
      <c r="A30" s="2" t="s">
        <v>56</v>
      </c>
      <c r="B30" s="3" t="s">
        <v>72</v>
      </c>
      <c r="C30" s="7">
        <v>45792.0</v>
      </c>
      <c r="D30" s="7">
        <v>46706.0</v>
      </c>
      <c r="E30" s="3">
        <v>741.0</v>
      </c>
      <c r="F30" s="9" t="s">
        <v>73</v>
      </c>
      <c r="G30" s="10">
        <f t="shared" si="1"/>
        <v>10</v>
      </c>
      <c r="H30" s="11">
        <f t="shared" si="2"/>
        <v>0.341356674</v>
      </c>
      <c r="I30" s="10">
        <f t="shared" si="3"/>
        <v>602</v>
      </c>
      <c r="J30" s="3" t="s">
        <v>25</v>
      </c>
      <c r="K30" s="2"/>
      <c r="L30" s="3"/>
      <c r="M30" s="3"/>
    </row>
    <row r="31">
      <c r="A31" s="2" t="s">
        <v>56</v>
      </c>
      <c r="B31" s="3" t="s">
        <v>74</v>
      </c>
      <c r="C31" s="7">
        <v>45853.0</v>
      </c>
      <c r="D31" s="7">
        <v>46402.0</v>
      </c>
      <c r="E31" s="3">
        <v>602.0</v>
      </c>
      <c r="F31" s="9" t="s">
        <v>75</v>
      </c>
      <c r="G31" s="10">
        <f t="shared" si="1"/>
        <v>8</v>
      </c>
      <c r="H31" s="11">
        <f t="shared" si="2"/>
        <v>0.4571948998</v>
      </c>
      <c r="I31" s="10">
        <f t="shared" si="3"/>
        <v>298</v>
      </c>
      <c r="J31" s="3" t="s">
        <v>29</v>
      </c>
      <c r="K31" s="2"/>
      <c r="L31" s="3"/>
      <c r="M31" s="3"/>
    </row>
    <row r="32">
      <c r="A32" s="2" t="s">
        <v>56</v>
      </c>
      <c r="B32" s="3" t="s">
        <v>76</v>
      </c>
      <c r="C32" s="7">
        <v>45931.0</v>
      </c>
      <c r="D32" s="7">
        <v>46461.0</v>
      </c>
      <c r="E32" s="3">
        <v>544.0</v>
      </c>
      <c r="F32" s="9" t="s">
        <v>77</v>
      </c>
      <c r="G32" s="10">
        <f t="shared" si="1"/>
        <v>5</v>
      </c>
      <c r="H32" s="11">
        <f t="shared" si="2"/>
        <v>0.3264150943</v>
      </c>
      <c r="I32" s="10">
        <f t="shared" si="3"/>
        <v>357</v>
      </c>
      <c r="J32" s="3" t="s">
        <v>34</v>
      </c>
      <c r="K32" s="3"/>
      <c r="L32" s="3"/>
      <c r="M32" s="3"/>
    </row>
    <row r="33">
      <c r="A33" s="2" t="s">
        <v>78</v>
      </c>
      <c r="B33" s="3" t="s">
        <v>79</v>
      </c>
      <c r="C33" s="7">
        <v>45611.0</v>
      </c>
      <c r="D33" s="7">
        <v>46157.0</v>
      </c>
      <c r="E33" s="3">
        <v>901.0</v>
      </c>
      <c r="F33" s="9" t="s">
        <v>80</v>
      </c>
      <c r="G33" s="10">
        <f t="shared" si="1"/>
        <v>16</v>
      </c>
      <c r="H33" s="11">
        <f t="shared" si="2"/>
        <v>0.9029304029</v>
      </c>
      <c r="I33" s="10">
        <f t="shared" si="3"/>
        <v>53</v>
      </c>
      <c r="J33" s="3" t="s">
        <v>25</v>
      </c>
      <c r="K33" s="3"/>
      <c r="L33" s="3"/>
      <c r="M33" s="3"/>
      <c r="P33" s="13"/>
      <c r="Q33" s="6"/>
    </row>
    <row r="34">
      <c r="A34" s="2" t="s">
        <v>78</v>
      </c>
      <c r="B34" s="3" t="s">
        <v>81</v>
      </c>
      <c r="C34" s="7">
        <v>45717.0</v>
      </c>
      <c r="D34" s="7">
        <v>46266.0</v>
      </c>
      <c r="E34" s="3">
        <v>390.0</v>
      </c>
      <c r="F34" s="9" t="s">
        <v>82</v>
      </c>
      <c r="G34" s="10">
        <f t="shared" si="1"/>
        <v>12</v>
      </c>
      <c r="H34" s="11">
        <f t="shared" si="2"/>
        <v>0.7049180328</v>
      </c>
      <c r="I34" s="10">
        <f t="shared" si="3"/>
        <v>162</v>
      </c>
      <c r="J34" s="3" t="s">
        <v>14</v>
      </c>
      <c r="K34" s="3"/>
      <c r="L34" s="3"/>
      <c r="M34" s="3"/>
      <c r="P34" s="6"/>
      <c r="Q34" s="6"/>
    </row>
    <row r="35">
      <c r="A35" s="2" t="s">
        <v>78</v>
      </c>
      <c r="B35" s="3" t="s">
        <v>83</v>
      </c>
      <c r="C35" s="7">
        <v>45792.0</v>
      </c>
      <c r="D35" s="7">
        <v>46341.0</v>
      </c>
      <c r="E35" s="3">
        <v>992.0</v>
      </c>
      <c r="F35" s="9" t="s">
        <v>84</v>
      </c>
      <c r="G35" s="10">
        <f t="shared" si="1"/>
        <v>10</v>
      </c>
      <c r="H35" s="11">
        <f t="shared" si="2"/>
        <v>0.5683060109</v>
      </c>
      <c r="I35" s="10">
        <f t="shared" si="3"/>
        <v>237</v>
      </c>
      <c r="J35" s="3" t="s">
        <v>25</v>
      </c>
      <c r="K35" s="3"/>
      <c r="L35" s="3"/>
      <c r="M35" s="3"/>
      <c r="P35" s="6"/>
      <c r="Q35" s="13"/>
    </row>
    <row r="36">
      <c r="A36" s="2" t="s">
        <v>78</v>
      </c>
      <c r="B36" s="3" t="s">
        <v>85</v>
      </c>
      <c r="C36" s="7">
        <v>45870.0</v>
      </c>
      <c r="D36" s="7">
        <v>46419.0</v>
      </c>
      <c r="E36" s="3">
        <v>142.0</v>
      </c>
      <c r="F36" s="9" t="s">
        <v>86</v>
      </c>
      <c r="G36" s="10">
        <f t="shared" si="1"/>
        <v>7</v>
      </c>
      <c r="H36" s="11">
        <f t="shared" si="2"/>
        <v>0.4262295082</v>
      </c>
      <c r="I36" s="10">
        <f t="shared" si="3"/>
        <v>315</v>
      </c>
      <c r="J36" s="3" t="s">
        <v>29</v>
      </c>
      <c r="K36" s="3"/>
      <c r="L36" s="3"/>
      <c r="M36" s="3"/>
      <c r="P36" s="6"/>
      <c r="Q36" s="6"/>
    </row>
    <row r="37">
      <c r="A37" s="2" t="s">
        <v>78</v>
      </c>
      <c r="B37" s="3" t="s">
        <v>87</v>
      </c>
      <c r="C37" s="7">
        <v>45976.0</v>
      </c>
      <c r="D37" s="7">
        <v>46522.0</v>
      </c>
      <c r="E37" s="3">
        <v>133.0</v>
      </c>
      <c r="F37" s="9" t="s">
        <v>88</v>
      </c>
      <c r="G37" s="10">
        <f t="shared" si="1"/>
        <v>4</v>
      </c>
      <c r="H37" s="11">
        <f t="shared" si="2"/>
        <v>0.2344322344</v>
      </c>
      <c r="I37" s="10">
        <f t="shared" si="3"/>
        <v>418</v>
      </c>
      <c r="J37" s="3" t="s">
        <v>25</v>
      </c>
      <c r="K37" s="3"/>
      <c r="L37" s="3"/>
      <c r="M37" s="3"/>
      <c r="P37" s="13"/>
      <c r="Q37" s="6"/>
    </row>
    <row r="38">
      <c r="A38" s="2" t="s">
        <v>78</v>
      </c>
      <c r="B38" s="3" t="s">
        <v>89</v>
      </c>
      <c r="C38" s="7">
        <v>46054.0</v>
      </c>
      <c r="D38" s="7">
        <v>46600.0</v>
      </c>
      <c r="E38" s="3">
        <v>667.0</v>
      </c>
      <c r="F38" s="9" t="s">
        <v>90</v>
      </c>
      <c r="G38" s="10">
        <f t="shared" si="1"/>
        <v>1</v>
      </c>
      <c r="H38" s="11">
        <f t="shared" si="2"/>
        <v>0.09157509158</v>
      </c>
      <c r="I38" s="10">
        <f t="shared" si="3"/>
        <v>496</v>
      </c>
      <c r="J38" s="3" t="s">
        <v>20</v>
      </c>
      <c r="K38" s="3"/>
      <c r="L38" s="3"/>
      <c r="M38" s="3"/>
      <c r="P38" s="6"/>
      <c r="Q38" s="6"/>
    </row>
    <row r="39">
      <c r="A39" s="2" t="s">
        <v>78</v>
      </c>
      <c r="B39" s="3" t="s">
        <v>91</v>
      </c>
      <c r="C39" s="7">
        <v>45762.0</v>
      </c>
      <c r="D39" s="7">
        <v>46675.0</v>
      </c>
      <c r="E39" s="3">
        <v>578.0</v>
      </c>
      <c r="F39" s="9" t="s">
        <v>92</v>
      </c>
      <c r="G39" s="10">
        <f t="shared" si="1"/>
        <v>11</v>
      </c>
      <c r="H39" s="11">
        <f t="shared" si="2"/>
        <v>0.3745892662</v>
      </c>
      <c r="I39" s="10">
        <f t="shared" si="3"/>
        <v>571</v>
      </c>
      <c r="J39" s="3" t="s">
        <v>29</v>
      </c>
      <c r="K39" s="2"/>
      <c r="L39" s="3"/>
      <c r="M39" s="3"/>
    </row>
    <row r="40">
      <c r="A40" s="2" t="s">
        <v>78</v>
      </c>
      <c r="B40" s="3" t="s">
        <v>93</v>
      </c>
      <c r="C40" s="7">
        <v>45870.0</v>
      </c>
      <c r="D40" s="7">
        <v>46419.0</v>
      </c>
      <c r="E40" s="3">
        <v>265.0</v>
      </c>
      <c r="F40" s="9" t="s">
        <v>94</v>
      </c>
      <c r="G40" s="10">
        <f t="shared" si="1"/>
        <v>7</v>
      </c>
      <c r="H40" s="11">
        <f t="shared" si="2"/>
        <v>0.4262295082</v>
      </c>
      <c r="I40" s="10">
        <f t="shared" si="3"/>
        <v>315</v>
      </c>
      <c r="J40" s="3" t="s">
        <v>20</v>
      </c>
      <c r="K40" s="2"/>
      <c r="L40" s="3"/>
      <c r="M40" s="3"/>
    </row>
    <row r="41">
      <c r="A41" s="2" t="s">
        <v>78</v>
      </c>
      <c r="B41" s="3" t="s">
        <v>95</v>
      </c>
      <c r="C41" s="7">
        <v>45945.0</v>
      </c>
      <c r="D41" s="7">
        <v>46492.0</v>
      </c>
      <c r="E41" s="3">
        <v>750.0</v>
      </c>
      <c r="F41" s="9" t="s">
        <v>96</v>
      </c>
      <c r="G41" s="10">
        <f t="shared" si="1"/>
        <v>5</v>
      </c>
      <c r="H41" s="11">
        <f t="shared" si="2"/>
        <v>0.2906764168</v>
      </c>
      <c r="I41" s="10">
        <f t="shared" si="3"/>
        <v>388</v>
      </c>
      <c r="J41" s="3" t="s">
        <v>17</v>
      </c>
      <c r="K41" s="3"/>
      <c r="L41" s="3"/>
      <c r="M41" s="3"/>
    </row>
    <row r="42">
      <c r="A42" s="2" t="s">
        <v>97</v>
      </c>
      <c r="B42" s="3" t="s">
        <v>98</v>
      </c>
      <c r="C42" s="7">
        <v>45580.0</v>
      </c>
      <c r="D42" s="7">
        <v>46127.0</v>
      </c>
      <c r="E42" s="3">
        <v>812.0</v>
      </c>
      <c r="F42" s="9" t="s">
        <v>99</v>
      </c>
      <c r="G42" s="10">
        <f t="shared" si="1"/>
        <v>17</v>
      </c>
      <c r="H42" s="11">
        <f t="shared" si="2"/>
        <v>0.957952468</v>
      </c>
      <c r="I42" s="10">
        <f t="shared" si="3"/>
        <v>23</v>
      </c>
      <c r="J42" s="3" t="s">
        <v>20</v>
      </c>
      <c r="K42" s="3"/>
      <c r="L42" s="3"/>
      <c r="M42" s="3"/>
      <c r="P42" s="6"/>
      <c r="Q42" s="6"/>
    </row>
    <row r="43">
      <c r="A43" s="2" t="s">
        <v>97</v>
      </c>
      <c r="B43" s="3" t="s">
        <v>100</v>
      </c>
      <c r="C43" s="7">
        <v>45703.0</v>
      </c>
      <c r="D43" s="7">
        <v>46249.0</v>
      </c>
      <c r="E43" s="3">
        <v>512.0</v>
      </c>
      <c r="F43" s="9" t="s">
        <v>101</v>
      </c>
      <c r="G43" s="10">
        <f t="shared" si="1"/>
        <v>13</v>
      </c>
      <c r="H43" s="11">
        <f t="shared" si="2"/>
        <v>0.7344322344</v>
      </c>
      <c r="I43" s="10">
        <f t="shared" si="3"/>
        <v>145</v>
      </c>
      <c r="J43" s="3" t="s">
        <v>25</v>
      </c>
      <c r="K43" s="3"/>
      <c r="L43" s="3"/>
      <c r="M43" s="3"/>
      <c r="P43" s="6"/>
      <c r="Q43" s="6"/>
    </row>
    <row r="44">
      <c r="A44" s="2" t="s">
        <v>97</v>
      </c>
      <c r="B44" s="3" t="s">
        <v>102</v>
      </c>
      <c r="C44" s="7">
        <v>45778.0</v>
      </c>
      <c r="D44" s="7">
        <v>46327.0</v>
      </c>
      <c r="E44" s="3">
        <v>118.0</v>
      </c>
      <c r="F44" s="9" t="s">
        <v>103</v>
      </c>
      <c r="G44" s="10">
        <f t="shared" si="1"/>
        <v>10</v>
      </c>
      <c r="H44" s="11">
        <f t="shared" si="2"/>
        <v>0.5938069217</v>
      </c>
      <c r="I44" s="10">
        <f t="shared" si="3"/>
        <v>223</v>
      </c>
      <c r="J44" s="3" t="s">
        <v>20</v>
      </c>
      <c r="K44" s="3"/>
      <c r="L44" s="3"/>
      <c r="M44" s="3"/>
      <c r="P44" s="6"/>
      <c r="Q44" s="6"/>
    </row>
    <row r="45">
      <c r="A45" s="2" t="s">
        <v>97</v>
      </c>
      <c r="B45" s="3" t="s">
        <v>104</v>
      </c>
      <c r="C45" s="7">
        <v>45853.0</v>
      </c>
      <c r="D45" s="7">
        <v>46402.0</v>
      </c>
      <c r="E45" s="3">
        <v>889.0</v>
      </c>
      <c r="F45" s="9" t="s">
        <v>105</v>
      </c>
      <c r="G45" s="10">
        <f t="shared" si="1"/>
        <v>8</v>
      </c>
      <c r="H45" s="11">
        <f t="shared" si="2"/>
        <v>0.4571948998</v>
      </c>
      <c r="I45" s="10">
        <f t="shared" si="3"/>
        <v>298</v>
      </c>
      <c r="J45" s="3" t="s">
        <v>20</v>
      </c>
      <c r="K45" s="3"/>
      <c r="L45" s="3"/>
      <c r="M45" s="3"/>
      <c r="P45" s="6"/>
      <c r="Q45" s="6"/>
    </row>
    <row r="46">
      <c r="A46" s="2" t="s">
        <v>97</v>
      </c>
      <c r="B46" s="3" t="s">
        <v>106</v>
      </c>
      <c r="C46" s="7">
        <v>45931.0</v>
      </c>
      <c r="D46" s="7">
        <v>46478.0</v>
      </c>
      <c r="E46" s="3">
        <v>319.0</v>
      </c>
      <c r="F46" s="9" t="s">
        <v>107</v>
      </c>
      <c r="G46" s="10">
        <f t="shared" si="1"/>
        <v>5</v>
      </c>
      <c r="H46" s="11">
        <f t="shared" si="2"/>
        <v>0.3162705667</v>
      </c>
      <c r="I46" s="10">
        <f t="shared" si="3"/>
        <v>374</v>
      </c>
      <c r="J46" s="3" t="s">
        <v>17</v>
      </c>
      <c r="K46" s="3"/>
      <c r="L46" s="3"/>
      <c r="M46" s="3"/>
      <c r="P46" s="6"/>
      <c r="Q46" s="6"/>
    </row>
    <row r="47">
      <c r="A47" s="2" t="s">
        <v>97</v>
      </c>
      <c r="B47" s="3" t="s">
        <v>108</v>
      </c>
      <c r="C47" s="7">
        <v>46006.0</v>
      </c>
      <c r="D47" s="7">
        <v>46553.0</v>
      </c>
      <c r="E47" s="3">
        <v>503.0</v>
      </c>
      <c r="F47" s="9" t="s">
        <v>109</v>
      </c>
      <c r="G47" s="10">
        <f t="shared" si="1"/>
        <v>3</v>
      </c>
      <c r="H47" s="11">
        <f t="shared" si="2"/>
        <v>0.1791590494</v>
      </c>
      <c r="I47" s="10">
        <f t="shared" si="3"/>
        <v>449</v>
      </c>
      <c r="J47" s="3" t="s">
        <v>34</v>
      </c>
      <c r="K47" s="3"/>
      <c r="L47" s="3"/>
      <c r="M47" s="3"/>
      <c r="P47" s="13"/>
      <c r="Q47" s="6"/>
    </row>
    <row r="48">
      <c r="A48" s="2" t="s">
        <v>97</v>
      </c>
      <c r="B48" s="3" t="s">
        <v>110</v>
      </c>
      <c r="C48" s="7">
        <v>46068.0</v>
      </c>
      <c r="D48" s="7">
        <v>46614.0</v>
      </c>
      <c r="E48" s="3">
        <v>412.0</v>
      </c>
      <c r="F48" s="9" t="s">
        <v>111</v>
      </c>
      <c r="G48" s="10">
        <f t="shared" si="1"/>
        <v>1</v>
      </c>
      <c r="H48" s="11">
        <f t="shared" si="2"/>
        <v>0.06593406593</v>
      </c>
      <c r="I48" s="10">
        <f t="shared" si="3"/>
        <v>510</v>
      </c>
      <c r="J48" s="3" t="s">
        <v>25</v>
      </c>
      <c r="K48" s="3"/>
      <c r="L48" s="3"/>
      <c r="M48" s="3"/>
      <c r="P48" s="13"/>
      <c r="Q48" s="6"/>
    </row>
    <row r="49">
      <c r="A49" s="2" t="s">
        <v>97</v>
      </c>
      <c r="B49" s="3" t="s">
        <v>112</v>
      </c>
      <c r="C49" s="7">
        <v>45778.0</v>
      </c>
      <c r="D49" s="7">
        <v>46692.0</v>
      </c>
      <c r="E49" s="3">
        <v>224.0</v>
      </c>
      <c r="F49" s="9" t="s">
        <v>113</v>
      </c>
      <c r="G49" s="10">
        <f t="shared" si="1"/>
        <v>10</v>
      </c>
      <c r="H49" s="11">
        <f t="shared" si="2"/>
        <v>0.3566739606</v>
      </c>
      <c r="I49" s="10">
        <f t="shared" si="3"/>
        <v>588</v>
      </c>
      <c r="J49" s="3" t="s">
        <v>20</v>
      </c>
      <c r="K49" s="3"/>
      <c r="L49" s="3"/>
      <c r="M49" s="3"/>
      <c r="P49" s="13"/>
      <c r="Q49" s="6"/>
    </row>
    <row r="50">
      <c r="A50" s="2" t="s">
        <v>97</v>
      </c>
      <c r="B50" s="3" t="s">
        <v>114</v>
      </c>
      <c r="C50" s="7">
        <v>45839.0</v>
      </c>
      <c r="D50" s="7">
        <v>46388.0</v>
      </c>
      <c r="E50" s="3">
        <v>433.0</v>
      </c>
      <c r="F50" s="9" t="s">
        <v>115</v>
      </c>
      <c r="G50" s="10">
        <f t="shared" si="1"/>
        <v>8</v>
      </c>
      <c r="H50" s="11">
        <f t="shared" si="2"/>
        <v>0.4826958106</v>
      </c>
      <c r="I50" s="10">
        <f t="shared" si="3"/>
        <v>284</v>
      </c>
      <c r="J50" s="3" t="s">
        <v>17</v>
      </c>
      <c r="K50" s="2"/>
      <c r="L50" s="3"/>
      <c r="M50" s="3"/>
    </row>
    <row r="51">
      <c r="A51" s="2" t="s">
        <v>97</v>
      </c>
      <c r="B51" s="3" t="s">
        <v>116</v>
      </c>
      <c r="C51" s="7">
        <v>45901.0</v>
      </c>
      <c r="D51" s="7">
        <v>46447.0</v>
      </c>
      <c r="E51" s="3">
        <v>321.0</v>
      </c>
      <c r="F51" s="9" t="s">
        <v>117</v>
      </c>
      <c r="G51" s="10">
        <f t="shared" si="1"/>
        <v>6</v>
      </c>
      <c r="H51" s="11">
        <f t="shared" si="2"/>
        <v>0.3717948718</v>
      </c>
      <c r="I51" s="10">
        <f t="shared" si="3"/>
        <v>343</v>
      </c>
      <c r="J51" s="3" t="s">
        <v>14</v>
      </c>
    </row>
    <row r="52">
      <c r="A52" s="2" t="s">
        <v>118</v>
      </c>
      <c r="B52" s="3" t="s">
        <v>119</v>
      </c>
      <c r="C52" s="7">
        <v>45839.0</v>
      </c>
      <c r="D52" s="7">
        <v>46388.0</v>
      </c>
      <c r="E52" s="3">
        <v>305.0</v>
      </c>
      <c r="F52" s="9" t="s">
        <v>120</v>
      </c>
      <c r="G52" s="10">
        <f t="shared" si="1"/>
        <v>8</v>
      </c>
      <c r="H52" s="11">
        <f t="shared" si="2"/>
        <v>0.4826958106</v>
      </c>
      <c r="I52" s="10">
        <f t="shared" si="3"/>
        <v>284</v>
      </c>
      <c r="J52" s="3" t="s">
        <v>17</v>
      </c>
    </row>
    <row r="53">
      <c r="A53" s="2" t="s">
        <v>121</v>
      </c>
      <c r="B53" s="3" t="s">
        <v>122</v>
      </c>
      <c r="C53" s="7">
        <v>45658.0</v>
      </c>
      <c r="D53" s="7">
        <v>46204.0</v>
      </c>
      <c r="E53" s="3">
        <v>423.0</v>
      </c>
      <c r="F53" s="9" t="s">
        <v>123</v>
      </c>
      <c r="G53" s="10">
        <f t="shared" si="1"/>
        <v>14</v>
      </c>
      <c r="H53" s="11">
        <f t="shared" si="2"/>
        <v>0.8168498168</v>
      </c>
      <c r="I53" s="10">
        <f t="shared" si="3"/>
        <v>100</v>
      </c>
      <c r="J53" s="3" t="s">
        <v>20</v>
      </c>
    </row>
    <row r="54">
      <c r="A54" s="3"/>
      <c r="F54" s="3"/>
      <c r="M54" s="3"/>
      <c r="P54" s="6"/>
      <c r="Q54" s="6"/>
    </row>
    <row r="55">
      <c r="M55" s="3"/>
      <c r="N55" s="3"/>
      <c r="O55" s="3"/>
      <c r="P55" s="6"/>
      <c r="Q55" s="6"/>
    </row>
    <row r="56">
      <c r="M56" s="3"/>
      <c r="N56" s="3"/>
      <c r="O56" s="3"/>
      <c r="P56" s="6"/>
      <c r="Q56" s="6"/>
    </row>
    <row r="57">
      <c r="M57" s="3"/>
      <c r="N57" s="3"/>
      <c r="O57" s="3"/>
      <c r="P57" s="6"/>
      <c r="Q57" s="6"/>
    </row>
    <row r="58">
      <c r="M58" s="3"/>
      <c r="N58" s="3"/>
      <c r="O58" s="3"/>
      <c r="P58" s="6"/>
      <c r="Q58" s="13"/>
    </row>
    <row r="59">
      <c r="M59" s="3"/>
      <c r="N59" s="3"/>
      <c r="O59" s="3"/>
      <c r="P59" s="6"/>
      <c r="Q59" s="6"/>
    </row>
    <row r="60">
      <c r="M60" s="3"/>
      <c r="N60" s="3"/>
      <c r="O60" s="3"/>
      <c r="P60" s="6"/>
      <c r="Q60" s="13"/>
    </row>
    <row r="61">
      <c r="K61" s="2"/>
      <c r="L61" s="3"/>
      <c r="M61" s="3"/>
      <c r="N61" s="3"/>
      <c r="O61" s="3"/>
    </row>
    <row r="62">
      <c r="M62" s="3"/>
      <c r="N62" s="3"/>
      <c r="O62" s="3"/>
      <c r="P62" s="6"/>
      <c r="Q62" s="13"/>
    </row>
    <row r="63">
      <c r="M63" s="3"/>
      <c r="N63" s="3"/>
      <c r="O63" s="3"/>
      <c r="P63" s="6"/>
      <c r="Q63" s="6"/>
    </row>
    <row r="64">
      <c r="M64" s="3"/>
      <c r="N64" s="3"/>
      <c r="O64" s="3"/>
      <c r="P64" s="6"/>
      <c r="Q64" s="6"/>
    </row>
    <row r="65">
      <c r="M65" s="3"/>
      <c r="N65" s="3"/>
      <c r="O65" s="3"/>
      <c r="P65" s="6"/>
      <c r="Q65" s="6"/>
    </row>
    <row r="66">
      <c r="M66" s="3"/>
      <c r="N66" s="3"/>
      <c r="O66" s="3"/>
      <c r="P66" s="6"/>
      <c r="Q66" s="6"/>
    </row>
    <row r="67">
      <c r="M67" s="3"/>
      <c r="N67" s="3"/>
      <c r="O67" s="3"/>
      <c r="P67" s="6"/>
      <c r="Q67" s="6"/>
    </row>
    <row r="68">
      <c r="M68" s="3"/>
      <c r="N68" s="3"/>
      <c r="O68" s="3"/>
      <c r="P68" s="6"/>
      <c r="Q68" s="6"/>
    </row>
    <row r="69">
      <c r="M69" s="3"/>
      <c r="N69" s="3"/>
      <c r="O69" s="3"/>
      <c r="P69" s="6"/>
      <c r="Q69" s="6"/>
    </row>
    <row r="70">
      <c r="M70" s="3"/>
      <c r="N70" s="3"/>
      <c r="O70" s="3"/>
      <c r="P70" s="13"/>
      <c r="Q70" s="6"/>
    </row>
  </sheetData>
  <mergeCells count="1"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0.38"/>
    <col customWidth="1" min="4" max="4" width="15.13"/>
    <col customWidth="1" min="5" max="5" width="0.38"/>
    <col customWidth="1" min="7" max="7" width="0.38"/>
    <col customWidth="1" min="9" max="9" width="0.63"/>
    <col customWidth="1" min="10" max="10" width="13.5"/>
    <col customWidth="1" min="11" max="11" width="0.38"/>
    <col customWidth="1" min="13" max="13" width="0.38"/>
    <col customWidth="1" min="15" max="15" width="0.38"/>
    <col customWidth="1" min="17" max="17" width="0.38"/>
  </cols>
  <sheetData>
    <row r="1" ht="33.0" customHeight="1">
      <c r="E1" s="1" t="s">
        <v>124</v>
      </c>
    </row>
    <row r="3">
      <c r="A3" s="4"/>
      <c r="B3" s="4" t="s">
        <v>125</v>
      </c>
      <c r="C3" s="14"/>
      <c r="D3" s="4" t="s">
        <v>126</v>
      </c>
      <c r="E3" s="14"/>
      <c r="F3" s="4" t="s">
        <v>127</v>
      </c>
      <c r="G3" s="14"/>
      <c r="H3" s="4" t="s">
        <v>128</v>
      </c>
      <c r="I3" s="14"/>
      <c r="J3" s="4" t="s">
        <v>129</v>
      </c>
      <c r="K3" s="14"/>
      <c r="L3" s="4" t="s">
        <v>130</v>
      </c>
      <c r="M3" s="14"/>
      <c r="N3" s="4" t="s">
        <v>131</v>
      </c>
      <c r="O3" s="14"/>
      <c r="P3" s="4" t="s">
        <v>132</v>
      </c>
      <c r="Q3" s="14"/>
      <c r="R3" s="4" t="s">
        <v>133</v>
      </c>
    </row>
    <row r="4">
      <c r="A4" s="5">
        <v>1.0</v>
      </c>
      <c r="B4" s="3" t="s">
        <v>15</v>
      </c>
      <c r="D4" s="3" t="s">
        <v>15</v>
      </c>
      <c r="F4" s="3" t="s">
        <v>18</v>
      </c>
      <c r="H4" s="3" t="s">
        <v>21</v>
      </c>
      <c r="J4" s="3" t="s">
        <v>23</v>
      </c>
      <c r="L4" s="3" t="s">
        <v>27</v>
      </c>
      <c r="N4" s="3" t="s">
        <v>30</v>
      </c>
      <c r="P4" s="3" t="s">
        <v>32</v>
      </c>
      <c r="R4" s="3" t="s">
        <v>35</v>
      </c>
      <c r="S4" s="3"/>
    </row>
    <row r="5">
      <c r="A5" s="5">
        <v>2.0</v>
      </c>
      <c r="B5" s="3" t="s">
        <v>98</v>
      </c>
      <c r="D5" s="3" t="s">
        <v>42</v>
      </c>
      <c r="F5" s="3" t="s">
        <v>83</v>
      </c>
      <c r="H5" s="3" t="s">
        <v>46</v>
      </c>
      <c r="J5" s="3" t="s">
        <v>87</v>
      </c>
      <c r="L5" s="3" t="s">
        <v>50</v>
      </c>
      <c r="N5" s="3" t="s">
        <v>114</v>
      </c>
      <c r="P5" s="3" t="s">
        <v>76</v>
      </c>
      <c r="R5" s="3" t="s">
        <v>54</v>
      </c>
      <c r="S5" s="3"/>
    </row>
    <row r="6">
      <c r="A6" s="5">
        <v>3.0</v>
      </c>
      <c r="B6" s="3" t="s">
        <v>57</v>
      </c>
      <c r="D6" s="3" t="s">
        <v>100</v>
      </c>
      <c r="F6" s="3" t="s">
        <v>44</v>
      </c>
      <c r="H6" s="3" t="s">
        <v>32</v>
      </c>
      <c r="J6" s="3" t="s">
        <v>48</v>
      </c>
      <c r="L6" s="3" t="s">
        <v>21</v>
      </c>
      <c r="N6" s="3" t="s">
        <v>74</v>
      </c>
      <c r="P6" s="3" t="s">
        <v>54</v>
      </c>
      <c r="R6" s="3" t="s">
        <v>89</v>
      </c>
      <c r="S6" s="3"/>
    </row>
    <row r="7">
      <c r="A7" s="5">
        <v>4.0</v>
      </c>
      <c r="B7" s="3" t="s">
        <v>79</v>
      </c>
      <c r="D7" s="3" t="s">
        <v>81</v>
      </c>
      <c r="F7" s="3" t="s">
        <v>63</v>
      </c>
      <c r="H7" s="3" t="s">
        <v>106</v>
      </c>
      <c r="J7" s="3" t="s">
        <v>108</v>
      </c>
      <c r="L7" s="3" t="s">
        <v>91</v>
      </c>
      <c r="N7" s="3" t="s">
        <v>93</v>
      </c>
      <c r="P7" s="3" t="s">
        <v>95</v>
      </c>
      <c r="R7" s="3" t="s">
        <v>110</v>
      </c>
      <c r="S7" s="3"/>
    </row>
    <row r="8">
      <c r="A8" s="5">
        <v>5.0</v>
      </c>
      <c r="B8" s="3" t="s">
        <v>27</v>
      </c>
      <c r="D8" s="3" t="s">
        <v>61</v>
      </c>
      <c r="F8" s="3" t="s">
        <v>119</v>
      </c>
      <c r="H8" s="3" t="s">
        <v>18</v>
      </c>
      <c r="L8" s="3" t="s">
        <v>112</v>
      </c>
      <c r="N8" s="3" t="s">
        <v>23</v>
      </c>
      <c r="S8" s="3"/>
    </row>
    <row r="9">
      <c r="A9" s="5">
        <v>6.0</v>
      </c>
      <c r="B9" s="3" t="s">
        <v>12</v>
      </c>
      <c r="D9" s="3" t="s">
        <v>30</v>
      </c>
      <c r="F9" s="3" t="s">
        <v>104</v>
      </c>
      <c r="L9" s="3" t="s">
        <v>72</v>
      </c>
      <c r="S9" s="3"/>
    </row>
    <row r="10">
      <c r="A10" s="5">
        <v>7.0</v>
      </c>
      <c r="B10" s="3" t="s">
        <v>122</v>
      </c>
      <c r="D10" s="3" t="s">
        <v>15</v>
      </c>
      <c r="F10" s="3" t="s">
        <v>85</v>
      </c>
      <c r="L10" s="3" t="s">
        <v>52</v>
      </c>
      <c r="S10" s="3"/>
    </row>
    <row r="11">
      <c r="S11" s="3"/>
    </row>
    <row r="12">
      <c r="S12" s="3"/>
    </row>
    <row r="13">
      <c r="S13" s="3"/>
    </row>
  </sheetData>
  <mergeCells count="1">
    <mergeCell ref="E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8.38"/>
    <col customWidth="1" min="4" max="4" width="12.0"/>
  </cols>
  <sheetData>
    <row r="1" ht="39.0" customHeight="1">
      <c r="B1" s="15"/>
      <c r="E1" s="1" t="s">
        <v>134</v>
      </c>
    </row>
    <row r="2">
      <c r="B2" s="15"/>
    </row>
    <row r="3" ht="20.25" customHeight="1">
      <c r="A3" s="4" t="s">
        <v>125</v>
      </c>
      <c r="C3" s="4" t="s">
        <v>126</v>
      </c>
      <c r="E3" s="4" t="s">
        <v>127</v>
      </c>
      <c r="G3" s="4" t="s">
        <v>128</v>
      </c>
      <c r="I3" s="4" t="s">
        <v>129</v>
      </c>
      <c r="K3" s="4" t="s">
        <v>130</v>
      </c>
      <c r="M3" s="4" t="s">
        <v>131</v>
      </c>
      <c r="O3" s="4" t="s">
        <v>132</v>
      </c>
      <c r="Q3" s="4" t="s">
        <v>133</v>
      </c>
    </row>
    <row r="4" ht="15.75" customHeight="1">
      <c r="A4" s="16" t="str">
        <f t="array" ref="A4">IF(B4="","",INDEX(Personaldaten!$A$3:$A$53,MATCH(B4,Personaldaten!$B$3:$B$53,0)))</f>
        <v>Unteroffizier</v>
      </c>
      <c r="B4" s="17" t="str">
        <f>IF(Eingabetabelle!B4=0,"",Eingabetabelle!B4)</f>
        <v>Moritz Klein</v>
      </c>
      <c r="C4" s="16" t="str">
        <f t="array" ref="C4">IF(D4="","",INDEX(Personaldaten!$A$3:$A$53,MATCH(D4,Personaldaten!$B$3:$B$53,0)))</f>
        <v>Unteroffizier</v>
      </c>
      <c r="D4" s="17" t="str">
        <f>IF(Eingabetabelle!D4=0,"",Eingabetabelle!D4)</f>
        <v>Moritz Klein</v>
      </c>
      <c r="E4" s="16" t="str">
        <f t="array" ref="E4">IF(F4="","",INDEX(Personaldaten!$A$3:$A$53,MATCH(F4,Personaldaten!$B$3:$B$53,0)))</f>
        <v>Unteroffizier</v>
      </c>
      <c r="F4" s="17" t="str">
        <f>IF(Eingabetabelle!F4=0,"",Eingabetabelle!F4)</f>
        <v>Matteo Werner</v>
      </c>
      <c r="G4" s="16" t="str">
        <f t="array" ref="G4">IF(H4="","",INDEX(Personaldaten!$A$3:$A$53,MATCH(H4,Personaldaten!$B$3:$B$53,0)))</f>
        <v>Unteroffizier</v>
      </c>
      <c r="H4" s="17" t="str">
        <f>IF(Eingabetabelle!H4=0,"",Eingabetabelle!H4)</f>
        <v>Christian Ludwig</v>
      </c>
      <c r="I4" s="16" t="str">
        <f t="array" ref="I4">IF(J4="","",INDEX(Personaldaten!$A$3:$A$53,MATCH(J4,Personaldaten!$B$3:$B$53,0)))</f>
        <v>Unteroffizier</v>
      </c>
      <c r="J4" s="17" t="str">
        <f>IF(Eingabetabelle!J4=0,"",Eingabetabelle!J4)</f>
        <v>Peter Graf</v>
      </c>
      <c r="K4" s="16" t="str">
        <f t="array" ref="K4">IF(L4="","",INDEX(Personaldaten!$A$3:$A$53,MATCH(L4,Personaldaten!$B$3:$B$53,0)))</f>
        <v>Stabsgefreiter</v>
      </c>
      <c r="L4" s="17" t="str">
        <f>IF(Eingabetabelle!L4=0,"",Eingabetabelle!L4)</f>
        <v>Elias Meyer</v>
      </c>
      <c r="M4" s="16" t="str">
        <f t="array" ref="M4">IF(N4="","",INDEX(Personaldaten!$A$3:$A$53,MATCH(N4,Personaldaten!$B$3:$B$53,0)))</f>
        <v>Stabsgefreiter</v>
      </c>
      <c r="N4" s="17" t="str">
        <f>IF(Eingabetabelle!N4=0,"",Eingabetabelle!N4)</f>
        <v>Jakob Richter</v>
      </c>
      <c r="O4" s="16" t="str">
        <f t="array" ref="O4">IF(P4="","",INDEX(Personaldaten!$A$3:$A$53,MATCH(P4,Personaldaten!$B$3:$B$53,0)))</f>
        <v>Stabsgefreiter</v>
      </c>
      <c r="P4" s="17" t="str">
        <f>IF(Eingabetabelle!P4=0,"",Eingabetabelle!P4)</f>
        <v>Fabian Lange</v>
      </c>
      <c r="Q4" s="16" t="str">
        <f t="array" ref="Q4">IF(R4="","",INDEX(Personaldaten!$A$3:$A$53,MATCH(R4,Personaldaten!$B$3:$B$53,0)))</f>
        <v>Stabsgefreiter</v>
      </c>
      <c r="R4" s="17" t="str">
        <f>IF(Eingabetabelle!R4=0,"",Eingabetabelle!R4)</f>
        <v>Stefan Roth</v>
      </c>
    </row>
    <row r="5">
      <c r="A5" s="18" t="str">
        <f>IF(B4="","","Einberufung")</f>
        <v>Einberufung</v>
      </c>
      <c r="B5" s="19">
        <f t="array" ref="B5">IF(B4="","",INDEX(Personaldaten!$C$3:$C$53,MATCH(B4,Personaldaten!$B$3:$B$53,0)))</f>
        <v>45762</v>
      </c>
      <c r="C5" s="18" t="str">
        <f>IF(D4="","","Einberufung")</f>
        <v>Einberufung</v>
      </c>
      <c r="D5" s="19">
        <f t="array" ref="D5">IF(D4="","",INDEX(Personaldaten!$C$3:$C$53,MATCH(D4,Personaldaten!$B$3:$B$53,0)))</f>
        <v>45762</v>
      </c>
      <c r="E5" s="18" t="str">
        <f>IF(F4="","","Einberufung")</f>
        <v>Einberufung</v>
      </c>
      <c r="F5" s="19">
        <f t="array" ref="F5">IF(F4="","",INDEX(Personaldaten!$C$3:$C$53,MATCH(F4,Personaldaten!$B$3:$B$53,0)))</f>
        <v>45945</v>
      </c>
      <c r="G5" s="18" t="str">
        <f>IF(H4="","","Einberufung")</f>
        <v>Einberufung</v>
      </c>
      <c r="H5" s="19">
        <f t="array" ref="H5">IF(H4="","",INDEX(Personaldaten!$C$3:$C$53,MATCH(H4,Personaldaten!$B$3:$B$53,0)))</f>
        <v>45748</v>
      </c>
      <c r="I5" s="18" t="str">
        <f>IF(J4="","","Einberufung")</f>
        <v>Einberufung</v>
      </c>
      <c r="J5" s="20">
        <f t="array" ref="J5">IF(J4="","",INDEX(Personaldaten!$C$3:$C$53,MATCH(J4,Personaldaten!$B$3:$B$53,0)))</f>
        <v>45884</v>
      </c>
      <c r="K5" s="18" t="str">
        <f>IF(L4="","","Einberufung")</f>
        <v>Einberufung</v>
      </c>
      <c r="L5" s="19">
        <f t="array" ref="L5">IF(L4="","",INDEX(Personaldaten!$C$3:$C$53,MATCH(L4,Personaldaten!$B$3:$B$53,0)))</f>
        <v>45627</v>
      </c>
      <c r="M5" s="18" t="str">
        <f>IF(N4="","","Einberufung")</f>
        <v>Einberufung</v>
      </c>
      <c r="N5" s="19">
        <f t="array" ref="N5">IF(N4="","",INDEX(Personaldaten!$C$3:$C$53,MATCH(N4,Personaldaten!$B$3:$B$53,0)))</f>
        <v>45748</v>
      </c>
      <c r="O5" s="18" t="str">
        <f>IF(P4="","","Einberufung")</f>
        <v>Einberufung</v>
      </c>
      <c r="P5" s="19">
        <f t="array" ref="P5">IF(P4="","",INDEX(Personaldaten!$C$3:$C$53,MATCH(P4,Personaldaten!$B$3:$B$53,0)))</f>
        <v>45915</v>
      </c>
      <c r="Q5" s="18" t="str">
        <f>IF(R4="","","Einberufung")</f>
        <v>Einberufung</v>
      </c>
      <c r="R5" s="19">
        <f t="array" ref="R5">IF(R4="","",INDEX(Personaldaten!$C$3:$C$53,MATCH(R4,Personaldaten!$B$3:$B$53,0)))</f>
        <v>46037</v>
      </c>
    </row>
    <row r="6">
      <c r="A6" s="16" t="str">
        <f>IF(B4="","","Dienstnummer")</f>
        <v>Dienstnummer</v>
      </c>
      <c r="B6" s="15">
        <f t="array" ref="B6">IF(B4="","",INDEX(Personaldaten!$E$3:$E$53,MATCH(B4,Personaldaten!$B$3:$B$53,0)))</f>
        <v>734</v>
      </c>
      <c r="C6" s="16" t="str">
        <f>IF(D4="","","Dienstnummer")</f>
        <v>Dienstnummer</v>
      </c>
      <c r="D6" s="15">
        <f t="array" ref="D6">IF(D4="","",INDEX(Personaldaten!$E$3:$E$53,MATCH(D4,Personaldaten!$B$3:$B$53,0)))</f>
        <v>734</v>
      </c>
      <c r="E6" s="16" t="str">
        <f>IF(F4="","","Dienstnummer")</f>
        <v>Dienstnummer</v>
      </c>
      <c r="F6" s="15">
        <f t="array" ref="F6">IF(F4="","",INDEX(Personaldaten!$E$3:$E$53,MATCH(F4,Personaldaten!$B$3:$B$53,0)))</f>
        <v>954</v>
      </c>
      <c r="G6" s="16" t="str">
        <f>IF(H4="","","Dienstnummer")</f>
        <v>Dienstnummer</v>
      </c>
      <c r="H6" s="15">
        <f t="array" ref="H6">IF(H4="","",INDEX(Personaldaten!$E$3:$E$53,MATCH(H4,Personaldaten!$B$3:$B$53,0)))</f>
        <v>355</v>
      </c>
      <c r="I6" s="16" t="str">
        <f>IF(J4="","","Dienstnummer")</f>
        <v>Dienstnummer</v>
      </c>
      <c r="J6" s="15">
        <f t="array" ref="J6">IF(J4="","",INDEX(Personaldaten!$E$3:$E$53,MATCH(J4,Personaldaten!$B$3:$B$53,0)))</f>
        <v>981</v>
      </c>
      <c r="K6" s="16" t="str">
        <f>IF(L4="","","Dienstnummer")</f>
        <v>Dienstnummer</v>
      </c>
      <c r="L6" s="15">
        <f t="array" ref="L6">IF(L4="","",INDEX(Personaldaten!$E$3:$E$53,MATCH(L4,Personaldaten!$B$3:$B$53,0)))</f>
        <v>156</v>
      </c>
      <c r="M6" s="16" t="str">
        <f>IF(N4="","","Dienstnummer")</f>
        <v>Dienstnummer</v>
      </c>
      <c r="N6" s="15">
        <f t="array" ref="N6">IF(N4="","",INDEX(Personaldaten!$E$3:$E$53,MATCH(N4,Personaldaten!$B$3:$B$53,0)))</f>
        <v>202</v>
      </c>
      <c r="O6" s="16" t="str">
        <f>IF(P4="","","Dienstnummer")</f>
        <v>Dienstnummer</v>
      </c>
      <c r="P6" s="15">
        <f t="array" ref="P6">IF(P4="","",INDEX(Personaldaten!$E$3:$E$53,MATCH(P4,Personaldaten!$B$3:$B$53,0)))</f>
        <v>694</v>
      </c>
      <c r="Q6" s="16" t="str">
        <f>IF(R4="","","Dienstnummer")</f>
        <v>Dienstnummer</v>
      </c>
      <c r="R6" s="15">
        <f t="array" ref="R6">IF(R4="","",INDEX(Personaldaten!$E$3:$E$53,MATCH(R4,Personaldaten!$B$3:$B$53,0)))</f>
        <v>299</v>
      </c>
    </row>
    <row r="7">
      <c r="A7" s="16" t="str">
        <f>IF(B4="","","Anschrift")</f>
        <v>Anschrift</v>
      </c>
      <c r="B7" s="21" t="str">
        <f t="array" ref="B7">IF(B4="","",INDEX(Personaldaten!$F$3:$F$53,MATCH(B4,Personaldaten!$B$3:$B$53,0)))</f>
        <v>Hannover</v>
      </c>
      <c r="C7" s="16" t="str">
        <f>IF(D4="","","Anschrift")</f>
        <v>Anschrift</v>
      </c>
      <c r="D7" s="21" t="str">
        <f t="array" ref="D7">IF(D4="","",INDEX(Personaldaten!$F$3:$F$53,MATCH(D4,Personaldaten!$B$3:$B$53,0)))</f>
        <v>Hannover</v>
      </c>
      <c r="E7" s="16" t="str">
        <f>IF(F4="","","Anschrift")</f>
        <v>Anschrift</v>
      </c>
      <c r="F7" s="21" t="str">
        <f t="array" ref="F7">IF(F4="","",INDEX(Personaldaten!$F$3:$F$53,MATCH(F4,Personaldaten!$B$3:$B$53,0)))</f>
        <v>Gelsenkirchen</v>
      </c>
      <c r="G7" s="16" t="str">
        <f>IF(H4="","","Anschrift")</f>
        <v>Anschrift</v>
      </c>
      <c r="H7" s="21" t="str">
        <f t="array" ref="H7">IF(H4="","",INDEX(Personaldaten!$F$3:$F$53,MATCH(H4,Personaldaten!$B$3:$B$53,0)))</f>
        <v>Oberhausen</v>
      </c>
      <c r="I7" s="16" t="str">
        <f>IF(J4="","","Anschrift")</f>
        <v>Anschrift</v>
      </c>
      <c r="J7" s="21" t="str">
        <f t="array" ref="J7">IF(J4="","",INDEX(Personaldaten!$F$3:$F$53,MATCH(J4,Personaldaten!$B$3:$B$53,0)))</f>
        <v>Ludwigshafen</v>
      </c>
      <c r="K7" s="16" t="str">
        <f>IF(L4="","","Anschrift")</f>
        <v>Anschrift</v>
      </c>
      <c r="L7" s="21" t="str">
        <f t="array" ref="L7">IF(L4="","",INDEX(Personaldaten!$F$3:$F$53,MATCH(L4,Personaldaten!$B$3:$B$53,0)))</f>
        <v>Köln</v>
      </c>
      <c r="M7" s="16" t="str">
        <f>IF(N4="","","Anschrift")</f>
        <v>Anschrift</v>
      </c>
      <c r="N7" s="21" t="str">
        <f t="array" ref="N7">IF(N4="","",INDEX(Personaldaten!$F$3:$F$53,MATCH(N4,Personaldaten!$B$3:$B$53,0)))</f>
        <v>Dresden</v>
      </c>
      <c r="O7" s="16" t="str">
        <f>IF(P4="","","Anschrift")</f>
        <v>Anschrift</v>
      </c>
      <c r="P7" s="21" t="str">
        <f t="array" ref="P7">IF(P4="","",INDEX(Personaldaten!$F$3:$F$53,MATCH(P4,Personaldaten!$B$3:$B$53,0)))</f>
        <v>Augsburg</v>
      </c>
      <c r="Q7" s="16" t="str">
        <f>IF(R4="","","Anschrift")</f>
        <v>Anschrift</v>
      </c>
      <c r="R7" s="21" t="str">
        <f t="array" ref="R7">IF(R4="","",INDEX(Personaldaten!$F$3:$F$53,MATCH(R4,Personaldaten!$B$3:$B$53,0)))</f>
        <v>Halle</v>
      </c>
    </row>
    <row r="8">
      <c r="A8" s="16" t="str">
        <f>IF(B4="","","Dienst")</f>
        <v>Dienst</v>
      </c>
      <c r="B8" s="15" t="str">
        <f t="array" ref="B8">IF(B4="","",INDEX(Personaldaten!$J$3:$J$53,MATCH(B4,Personaldaten!$B$3:$B$53,0)))</f>
        <v>Gefreiter vom Dienst</v>
      </c>
      <c r="C8" s="16" t="str">
        <f>IF(D4="","","Dienst")</f>
        <v>Dienst</v>
      </c>
      <c r="D8" s="15" t="str">
        <f t="array" ref="D8">IF(D4="","",INDEX(Personaldaten!$J$3:$J$53,MATCH(D4,Personaldaten!$B$3:$B$53,0)))</f>
        <v>Gefreiter vom Dienst</v>
      </c>
      <c r="E8" s="16" t="str">
        <f>IF(F4="","","Dienst")</f>
        <v>Dienst</v>
      </c>
      <c r="F8" s="15" t="str">
        <f t="array" ref="F8">IF(F4="","",INDEX(Personaldaten!$J$3:$J$53,MATCH(F4,Personaldaten!$B$3:$B$53,0)))</f>
        <v>Waffenreinigen</v>
      </c>
      <c r="G8" s="16" t="str">
        <f>IF(H4="","","Dienst")</f>
        <v>Dienst</v>
      </c>
      <c r="H8" s="15" t="str">
        <f t="array" ref="H8">IF(H4="","",INDEX(Personaldaten!$J$3:$J$53,MATCH(H4,Personaldaten!$B$3:$B$53,0)))</f>
        <v>Gefreiter vom Dienst</v>
      </c>
      <c r="I8" s="16" t="str">
        <f>IF(J4="","","Dienst")</f>
        <v>Dienst</v>
      </c>
      <c r="J8" s="15" t="str">
        <f t="array" ref="J8">IF(J4="","",INDEX(Personaldaten!$J$3:$J$53,MATCH(J4,Personaldaten!$B$3:$B$53,0)))</f>
        <v>Revierreinigen</v>
      </c>
      <c r="K8" s="16" t="str">
        <f>IF(L4="","","Dienst")</f>
        <v>Dienst</v>
      </c>
      <c r="L8" s="15" t="str">
        <f t="array" ref="L8">IF(L4="","",INDEX(Personaldaten!$J$3:$J$53,MATCH(L4,Personaldaten!$B$3:$B$53,0)))</f>
        <v>Streifendienst</v>
      </c>
      <c r="M8" s="16" t="str">
        <f>IF(N4="","","Dienst")</f>
        <v>Dienst</v>
      </c>
      <c r="N8" s="15" t="str">
        <f t="array" ref="N8">IF(N4="","",INDEX(Personaldaten!$J$3:$J$53,MATCH(N4,Personaldaten!$B$3:$B$53,0)))</f>
        <v>Streifendienst</v>
      </c>
      <c r="O8" s="16" t="str">
        <f>IF(P4="","","Dienst")</f>
        <v>Dienst</v>
      </c>
      <c r="P8" s="15" t="str">
        <f t="array" ref="P8">IF(P4="","",INDEX(Personaldaten!$J$3:$J$53,MATCH(P4,Personaldaten!$B$3:$B$53,0)))</f>
        <v>Wachdienst Tor</v>
      </c>
      <c r="Q8" s="16" t="str">
        <f>IF(R4="","","Dienst")</f>
        <v>Dienst</v>
      </c>
      <c r="R8" s="15" t="str">
        <f t="array" ref="R8">IF(R4="","",INDEX(Personaldaten!$J$3:$J$53,MATCH(R4,Personaldaten!$B$3:$B$53,0)))</f>
        <v>Gefreiter vom Dienst</v>
      </c>
    </row>
    <row r="9">
      <c r="B9" s="15"/>
      <c r="D9" s="15"/>
      <c r="F9" s="15"/>
      <c r="H9" s="15"/>
      <c r="J9" s="15"/>
      <c r="L9" s="15"/>
      <c r="N9" s="15"/>
      <c r="P9" s="15"/>
      <c r="R9" s="15"/>
    </row>
    <row r="10">
      <c r="A10" s="16" t="str">
        <f t="array" ref="A10">IF(B10="","",INDEX(Personaldaten!$A$3:$A$53,MATCH(B10,Personaldaten!$B$3:$B$53,0)))</f>
        <v>Gefreiter</v>
      </c>
      <c r="B10" s="17" t="str">
        <f>IF(Eingabetabelle!B5=0,"",Eingabetabelle!B5)</f>
        <v>Maximilian Schmidt</v>
      </c>
      <c r="C10" s="16" t="str">
        <f t="array" ref="C10">IF(D10="","",INDEX(Personaldaten!$A$3:$A$53,MATCH(D10,Personaldaten!$B$3:$B$53,0)))</f>
        <v>Schütze</v>
      </c>
      <c r="D10" s="17" t="str">
        <f>IF(Eingabetabelle!D5=0,"",Eingabetabelle!D5)</f>
        <v>Paul Hoffmann</v>
      </c>
      <c r="E10" s="16" t="str">
        <f t="array" ref="E10">IF(F10="","",INDEX(Personaldaten!$A$3:$A$53,MATCH(F10,Personaldaten!$B$3:$B$53,0)))</f>
        <v>Hauptgefreiter</v>
      </c>
      <c r="F10" s="17" t="str">
        <f>IF(Eingabetabelle!F5=0,"",Eingabetabelle!F5)</f>
        <v>Alex Schröder</v>
      </c>
      <c r="G10" s="16" t="str">
        <f t="array" ref="G10">IF(H10="","",INDEX(Personaldaten!$A$3:$A$53,MATCH(H10,Personaldaten!$B$3:$B$53,0)))</f>
        <v>Schütze</v>
      </c>
      <c r="H10" s="17" t="str">
        <f>IF(Eingabetabelle!H5=0,"",Eingabetabelle!H5)</f>
        <v>Kilian Hartung</v>
      </c>
      <c r="I10" s="16" t="str">
        <f t="array" ref="I10">IF(J10="","",INDEX(Personaldaten!$A$3:$A$53,MATCH(J10,Personaldaten!$B$3:$B$53,0)))</f>
        <v>Hauptgefreiter</v>
      </c>
      <c r="J10" s="17" t="str">
        <f>IF(Eingabetabelle!J5=0,"",Eingabetabelle!J5)</f>
        <v>Jannik Friedrich</v>
      </c>
      <c r="K10" s="16" t="str">
        <f t="array" ref="K10">IF(L10="","",INDEX(Personaldaten!$A$3:$A$53,MATCH(L10,Personaldaten!$B$3:$B$53,0)))</f>
        <v>Schütze</v>
      </c>
      <c r="L10" s="17" t="str">
        <f>IF(Eingabetabelle!L5=0,"",Eingabetabelle!L5)</f>
        <v>Marcel Simon</v>
      </c>
      <c r="M10" s="16" t="str">
        <f t="array" ref="M10">IF(N10="","",INDEX(Personaldaten!$A$3:$A$53,MATCH(N10,Personaldaten!$B$3:$B$53,0)))</f>
        <v>Gefreiter</v>
      </c>
      <c r="N10" s="17" t="str">
        <f>IF(Eingabetabelle!N5=0,"",Eingabetabelle!N5)</f>
        <v>Michael Otto</v>
      </c>
      <c r="O10" s="16" t="str">
        <f t="array" ref="O10">IF(P10="","",INDEX(Personaldaten!$A$3:$A$53,MATCH(P10,Personaldaten!$B$3:$B$53,0)))</f>
        <v>Obergefreiter</v>
      </c>
      <c r="P10" s="17" t="str">
        <f>IF(Eingabetabelle!P5=0,"",Eingabetabelle!P5)</f>
        <v>Jörg Seidel</v>
      </c>
      <c r="Q10" s="16" t="str">
        <f t="array" ref="Q10">IF(R10="","",INDEX(Personaldaten!$A$3:$A$53,MATCH(R10,Personaldaten!$B$3:$B$53,0)))</f>
        <v>Schütze</v>
      </c>
      <c r="R10" s="17" t="str">
        <f>IF(Eingabetabelle!R5=0,"",Eingabetabelle!R5)</f>
        <v>Frank Voigt</v>
      </c>
    </row>
    <row r="11">
      <c r="A11" s="18" t="str">
        <f>IF(B10="","","Einberufung")</f>
        <v>Einberufung</v>
      </c>
      <c r="B11" s="19">
        <f t="array" ref="B11">IF(B10="","",INDEX(Personaldaten!$C$3:$C$53,MATCH(B10,Personaldaten!$B$3:$B$53,0)))</f>
        <v>45580</v>
      </c>
      <c r="C11" s="18" t="str">
        <f>IF(D10="","","Einberufung")</f>
        <v>Einberufung</v>
      </c>
      <c r="D11" s="19">
        <f t="array" ref="D11">IF(D10="","",INDEX(Personaldaten!$C$3:$C$53,MATCH(D10,Personaldaten!$B$3:$B$53,0)))</f>
        <v>45689</v>
      </c>
      <c r="E11" s="18" t="str">
        <f>IF(F10="","","Einberufung")</f>
        <v>Einberufung</v>
      </c>
      <c r="F11" s="19">
        <f t="array" ref="F11">IF(F10="","",INDEX(Personaldaten!$C$3:$C$53,MATCH(F10,Personaldaten!$B$3:$B$53,0)))</f>
        <v>45792</v>
      </c>
      <c r="G11" s="18" t="str">
        <f>IF(H10="","","Einberufung")</f>
        <v>Einberufung</v>
      </c>
      <c r="H11" s="19">
        <f t="array" ref="H11">IF(H10="","",INDEX(Personaldaten!$C$3:$C$53,MATCH(H10,Personaldaten!$B$3:$B$53,0)))</f>
        <v>45901</v>
      </c>
      <c r="I11" s="18" t="str">
        <f>IF(J10="","","Einberufung")</f>
        <v>Einberufung</v>
      </c>
      <c r="J11" s="19">
        <f t="array" ref="J11">IF(J10="","",INDEX(Personaldaten!$C$3:$C$53,MATCH(J10,Personaldaten!$B$3:$B$53,0)))</f>
        <v>45976</v>
      </c>
      <c r="K11" s="18" t="str">
        <f>IF(L10="","","Einberufung")</f>
        <v>Einberufung</v>
      </c>
      <c r="L11" s="19">
        <f t="array" ref="L11">IF(L10="","",INDEX(Personaldaten!$C$3:$C$53,MATCH(L10,Personaldaten!$B$3:$B$53,0)))</f>
        <v>46096</v>
      </c>
      <c r="M11" s="18" t="str">
        <f>IF(N10="","","Einberufung")</f>
        <v>Einberufung</v>
      </c>
      <c r="N11" s="19">
        <f t="array" ref="N11">IF(N10="","",INDEX(Personaldaten!$C$3:$C$53,MATCH(N10,Personaldaten!$B$3:$B$53,0)))</f>
        <v>45839</v>
      </c>
      <c r="O11" s="18" t="str">
        <f>IF(P10="","","Einberufung")</f>
        <v>Einberufung</v>
      </c>
      <c r="P11" s="19">
        <f t="array" ref="P11">IF(P10="","",INDEX(Personaldaten!$C$3:$C$53,MATCH(P10,Personaldaten!$B$3:$B$53,0)))</f>
        <v>45931</v>
      </c>
      <c r="Q11" s="18" t="str">
        <f>IF(R10="","","Einberufung")</f>
        <v>Einberufung</v>
      </c>
      <c r="R11" s="19">
        <f t="array" ref="R11">IF(R10="","",INDEX(Personaldaten!$C$3:$C$53,MATCH(R10,Personaldaten!$B$3:$B$53,0)))</f>
        <v>45931</v>
      </c>
    </row>
    <row r="12">
      <c r="A12" s="16" t="str">
        <f>IF(B10="","","Dienstnummer")</f>
        <v>Dienstnummer</v>
      </c>
      <c r="B12" s="15">
        <f t="array" ref="B12">IF(B10="","",INDEX(Personaldaten!$E$3:$E$53,MATCH(B10,Personaldaten!$B$3:$B$53,0)))</f>
        <v>812</v>
      </c>
      <c r="C12" s="16" t="str">
        <f>IF(D10="","","Dienstnummer")</f>
        <v>Dienstnummer</v>
      </c>
      <c r="D12" s="15">
        <f t="array" ref="D12">IF(D10="","",INDEX(Personaldaten!$E$3:$E$53,MATCH(D10,Personaldaten!$B$3:$B$53,0)))</f>
        <v>289</v>
      </c>
      <c r="E12" s="16" t="str">
        <f>IF(F10="","","Dienstnummer")</f>
        <v>Dienstnummer</v>
      </c>
      <c r="F12" s="15">
        <f t="array" ref="F12">IF(F10="","",INDEX(Personaldaten!$E$3:$E$53,MATCH(F10,Personaldaten!$B$3:$B$53,0)))</f>
        <v>992</v>
      </c>
      <c r="G12" s="16" t="str">
        <f>IF(H10="","","Dienstnummer")</f>
        <v>Dienstnummer</v>
      </c>
      <c r="H12" s="15">
        <f t="array" ref="H12">IF(H10="","",INDEX(Personaldaten!$E$3:$E$53,MATCH(H10,Personaldaten!$B$3:$B$53,0)))</f>
        <v>277</v>
      </c>
      <c r="I12" s="16" t="str">
        <f>IF(J10="","","Dienstnummer")</f>
        <v>Dienstnummer</v>
      </c>
      <c r="J12" s="15">
        <f t="array" ref="J12">IF(J10="","",INDEX(Personaldaten!$E$3:$E$53,MATCH(J10,Personaldaten!$B$3:$B$53,0)))</f>
        <v>133</v>
      </c>
      <c r="K12" s="16" t="str">
        <f>IF(L10="","","Dienstnummer")</f>
        <v>Dienstnummer</v>
      </c>
      <c r="L12" s="15">
        <f t="array" ref="L12">IF(L10="","",INDEX(Personaldaten!$E$3:$E$53,MATCH(L10,Personaldaten!$B$3:$B$53,0)))</f>
        <v>932</v>
      </c>
      <c r="M12" s="16" t="str">
        <f>IF(N10="","","Dienstnummer")</f>
        <v>Dienstnummer</v>
      </c>
      <c r="N12" s="15">
        <f t="array" ref="N12">IF(N10="","",INDEX(Personaldaten!$E$3:$E$53,MATCH(N10,Personaldaten!$B$3:$B$53,0)))</f>
        <v>433</v>
      </c>
      <c r="O12" s="16" t="str">
        <f>IF(P10="","","Dienstnummer")</f>
        <v>Dienstnummer</v>
      </c>
      <c r="P12" s="15">
        <f t="array" ref="P12">IF(P10="","",INDEX(Personaldaten!$E$3:$E$53,MATCH(P10,Personaldaten!$B$3:$B$53,0)))</f>
        <v>544</v>
      </c>
      <c r="Q12" s="16" t="str">
        <f>IF(R10="","","Dienstnummer")</f>
        <v>Dienstnummer</v>
      </c>
      <c r="R12" s="15">
        <f t="array" ref="R12">IF(R10="","",INDEX(Personaldaten!$E$3:$E$53,MATCH(R10,Personaldaten!$B$3:$B$53,0)))</f>
        <v>178</v>
      </c>
    </row>
    <row r="13">
      <c r="A13" s="16" t="str">
        <f>IF(B10="","","Anschrift")</f>
        <v>Anschrift</v>
      </c>
      <c r="B13" s="21" t="str">
        <f t="array" ref="B13">IF(B10="","",INDEX(Personaldaten!$F$3:$F$53,MATCH(B10,Personaldaten!$B$3:$B$53,0)))</f>
        <v>Berlin</v>
      </c>
      <c r="C13" s="16" t="str">
        <f>IF(D10="","","Anschrift")</f>
        <v>Anschrift</v>
      </c>
      <c r="D13" s="21" t="str">
        <f t="array" ref="D13">IF(D10="","",INDEX(Personaldaten!$F$3:$F$53,MATCH(D10,Personaldaten!$B$3:$B$53,0)))</f>
        <v>Dortmund</v>
      </c>
      <c r="E13" s="16" t="str">
        <f>IF(F10="","","Anschrift")</f>
        <v>Anschrift</v>
      </c>
      <c r="F13" s="21" t="str">
        <f t="array" ref="F13">IF(F10="","",INDEX(Personaldaten!$F$3:$F$53,MATCH(F10,Personaldaten!$B$3:$B$53,0)))</f>
        <v>Duisburg</v>
      </c>
      <c r="G13" s="16" t="str">
        <f>IF(H10="","","Anschrift")</f>
        <v>Anschrift</v>
      </c>
      <c r="H13" s="21" t="str">
        <f t="array" ref="H13">IF(H10="","",INDEX(Personaldaten!$F$3:$F$53,MATCH(H10,Personaldaten!$B$3:$B$53,0)))</f>
        <v>Mannheim</v>
      </c>
      <c r="I13" s="16" t="str">
        <f>IF(J10="","","Anschrift")</f>
        <v>Anschrift</v>
      </c>
      <c r="J13" s="21" t="str">
        <f t="array" ref="J13">IF(J10="","",INDEX(Personaldaten!$F$3:$F$53,MATCH(J10,Personaldaten!$B$3:$B$53,0)))</f>
        <v>Braunschweig</v>
      </c>
      <c r="K13" s="16" t="str">
        <f>IF(L10="","","Anschrift")</f>
        <v>Anschrift</v>
      </c>
      <c r="L13" s="21" t="str">
        <f t="array" ref="L13">IF(L10="","",INDEX(Personaldaten!$F$3:$F$53,MATCH(L10,Personaldaten!$B$3:$B$53,0)))</f>
        <v>Lübeck</v>
      </c>
      <c r="M13" s="16" t="str">
        <f>IF(N10="","","Anschrift")</f>
        <v>Anschrift</v>
      </c>
      <c r="N13" s="21" t="str">
        <f t="array" ref="N13">IF(N10="","",INDEX(Personaldaten!$F$3:$F$53,MATCH(N10,Personaldaten!$B$3:$B$53,0)))</f>
        <v>Hamm</v>
      </c>
      <c r="O13" s="16" t="str">
        <f>IF(P10="","","Anschrift")</f>
        <v>Anschrift</v>
      </c>
      <c r="P13" s="21" t="str">
        <f t="array" ref="P13">IF(P10="","",INDEX(Personaldaten!$F$3:$F$53,MATCH(P10,Personaldaten!$B$3:$B$53,0)))</f>
        <v>Oldenburg</v>
      </c>
      <c r="Q13" s="16" t="str">
        <f>IF(R10="","","Anschrift")</f>
        <v>Anschrift</v>
      </c>
      <c r="R13" s="21" t="str">
        <f t="array" ref="R13">IF(R10="","",INDEX(Personaldaten!$F$3:$F$53,MATCH(R10,Personaldaten!$B$3:$B$53,0)))</f>
        <v>Osnabrück</v>
      </c>
    </row>
    <row r="14">
      <c r="A14" s="16" t="str">
        <f>IF(B10="","","Dienst")</f>
        <v>Dienst</v>
      </c>
      <c r="B14" s="15" t="str">
        <f t="array" ref="B14">IF(B10="","",INDEX(Personaldaten!$J$3:$J$53,MATCH(B10,Personaldaten!$B$3:$B$53,0)))</f>
        <v>Waffenreinigen</v>
      </c>
      <c r="C14" s="16" t="str">
        <f>IF(D10="","","Dienst")</f>
        <v>Dienst</v>
      </c>
      <c r="D14" s="15" t="str">
        <f t="array" ref="D14">IF(D10="","",INDEX(Personaldaten!$J$3:$J$53,MATCH(D10,Personaldaten!$B$3:$B$53,0)))</f>
        <v>Streifendienst</v>
      </c>
      <c r="E14" s="16" t="str">
        <f>IF(F10="","","Dienst")</f>
        <v>Dienst</v>
      </c>
      <c r="F14" s="15" t="str">
        <f t="array" ref="F14">IF(F10="","",INDEX(Personaldaten!$J$3:$J$53,MATCH(F10,Personaldaten!$B$3:$B$53,0)))</f>
        <v>Revierreinigen</v>
      </c>
      <c r="G14" s="16" t="str">
        <f>IF(H10="","","Dienst")</f>
        <v>Dienst</v>
      </c>
      <c r="H14" s="15" t="str">
        <f t="array" ref="H14">IF(H10="","",INDEX(Personaldaten!$J$3:$J$53,MATCH(H10,Personaldaten!$B$3:$B$53,0)))</f>
        <v>Parkdienst Fuhrpark</v>
      </c>
      <c r="I14" s="16" t="str">
        <f>IF(J10="","","Dienst")</f>
        <v>Dienst</v>
      </c>
      <c r="J14" s="15" t="str">
        <f t="array" ref="J14">IF(J10="","",INDEX(Personaldaten!$J$3:$J$53,MATCH(J10,Personaldaten!$B$3:$B$53,0)))</f>
        <v>Revierreinigen</v>
      </c>
      <c r="K14" s="16" t="str">
        <f>IF(L10="","","Dienst")</f>
        <v>Dienst</v>
      </c>
      <c r="L14" s="15" t="str">
        <f t="array" ref="L14">IF(L10="","",INDEX(Personaldaten!$J$3:$J$53,MATCH(L10,Personaldaten!$B$3:$B$53,0)))</f>
        <v>Wachdienst Tor</v>
      </c>
      <c r="M14" s="16" t="str">
        <f>IF(N10="","","Dienst")</f>
        <v>Dienst</v>
      </c>
      <c r="N14" s="15" t="str">
        <f t="array" ref="N14">IF(N10="","",INDEX(Personaldaten!$J$3:$J$53,MATCH(N10,Personaldaten!$B$3:$B$53,0)))</f>
        <v>Gefreiter vom Dienst</v>
      </c>
      <c r="O14" s="16" t="str">
        <f>IF(P10="","","Dienst")</f>
        <v>Dienst</v>
      </c>
      <c r="P14" s="15" t="str">
        <f t="array" ref="P14">IF(P10="","",INDEX(Personaldaten!$J$3:$J$53,MATCH(P10,Personaldaten!$B$3:$B$53,0)))</f>
        <v>Wachdienst Tor</v>
      </c>
      <c r="Q14" s="16" t="str">
        <f>IF(R10="","","Dienst")</f>
        <v>Dienst</v>
      </c>
      <c r="R14" s="15" t="str">
        <f t="array" ref="R14">IF(R10="","",INDEX(Personaldaten!$J$3:$J$53,MATCH(R10,Personaldaten!$B$3:$B$53,0)))</f>
        <v>Streifendienst</v>
      </c>
    </row>
    <row r="15">
      <c r="B15" s="15"/>
      <c r="D15" s="15"/>
      <c r="F15" s="15"/>
      <c r="H15" s="15"/>
      <c r="J15" s="15"/>
      <c r="L15" s="15"/>
      <c r="N15" s="15"/>
      <c r="P15" s="15"/>
      <c r="R15" s="15"/>
    </row>
    <row r="16">
      <c r="A16" s="16" t="str">
        <f t="array" ref="A16">IF(B16="","",INDEX(Personaldaten!$A$3:$A$53,MATCH(B16,Personaldaten!$B$3:$B$53,0)))</f>
        <v>Obergefreiter</v>
      </c>
      <c r="B16" s="17" t="str">
        <f>IF(Eingabetabelle!B6=0,"",Eingabetabelle!B6)</f>
        <v>Finn Fischer</v>
      </c>
      <c r="C16" s="16" t="str">
        <f t="array" ref="C16">IF(D16="","",INDEX(Personaldaten!$A$3:$A$53,MATCH(D16,Personaldaten!$B$3:$B$53,0)))</f>
        <v>Gefreiter</v>
      </c>
      <c r="D16" s="17" t="str">
        <f>IF(Eingabetabelle!D6=0,"",Eingabetabelle!D6)</f>
        <v>Henry Schäfer</v>
      </c>
      <c r="E16" s="16" t="str">
        <f t="array" ref="E16">IF(F16="","",INDEX(Personaldaten!$A$3:$A$53,MATCH(F16,Personaldaten!$B$3:$B$53,0)))</f>
        <v>Schütze</v>
      </c>
      <c r="F16" s="17" t="str">
        <f>IF(Eingabetabelle!F6=0,"",Eingabetabelle!F6)</f>
        <v>David Neumann</v>
      </c>
      <c r="G16" s="16" t="str">
        <f t="array" ref="G16">IF(H16="","",INDEX(Personaldaten!$A$3:$A$53,MATCH(H16,Personaldaten!$B$3:$B$53,0)))</f>
        <v>Stabsgefreiter</v>
      </c>
      <c r="H16" s="17" t="str">
        <f>IF(Eingabetabelle!H6=0,"",Eingabetabelle!H6)</f>
        <v>Fabian Lange</v>
      </c>
      <c r="I16" s="16" t="str">
        <f t="array" ref="I16">IF(J16="","",INDEX(Personaldaten!$A$3:$A$53,MATCH(J16,Personaldaten!$B$3:$B$53,0)))</f>
        <v>Schütze</v>
      </c>
      <c r="J16" s="17" t="str">
        <f>IF(Eingabetabelle!J6=0,"",Eingabetabelle!J6)</f>
        <v>Hannes Günther</v>
      </c>
      <c r="K16" s="16" t="str">
        <f t="array" ref="K16">IF(L16="","",INDEX(Personaldaten!$A$3:$A$53,MATCH(L16,Personaldaten!$B$3:$B$53,0)))</f>
        <v>Unteroffizier</v>
      </c>
      <c r="L16" s="17" t="str">
        <f>IF(Eingabetabelle!L6=0,"",Eingabetabelle!L6)</f>
        <v>Christian Ludwig</v>
      </c>
      <c r="M16" s="16" t="str">
        <f t="array" ref="M16">IF(N16="","",INDEX(Personaldaten!$A$3:$A$53,MATCH(N16,Personaldaten!$B$3:$B$53,0)))</f>
        <v>Obergefreiter</v>
      </c>
      <c r="N16" s="17" t="str">
        <f>IF(Eingabetabelle!N6=0,"",Eingabetabelle!N6)</f>
        <v>Jens Sommer</v>
      </c>
      <c r="O16" s="16" t="str">
        <f t="array" ref="O16">IF(P16="","",INDEX(Personaldaten!$A$3:$A$53,MATCH(P16,Personaldaten!$B$3:$B$53,0)))</f>
        <v>Schütze</v>
      </c>
      <c r="P16" s="17" t="str">
        <f>IF(Eingabetabelle!P6=0,"",Eingabetabelle!P6)</f>
        <v>Frank Voigt</v>
      </c>
      <c r="Q16" s="16" t="str">
        <f t="array" ref="Q16">IF(R16="","",INDEX(Personaldaten!$A$3:$A$53,MATCH(R16,Personaldaten!$B$3:$B$53,0)))</f>
        <v>Hauptgefreiter</v>
      </c>
      <c r="R16" s="17" t="str">
        <f>IF(Eingabetabelle!R6=0,"",Eingabetabelle!R6)</f>
        <v>Daniel Beck</v>
      </c>
    </row>
    <row r="17">
      <c r="A17" s="18" t="str">
        <f>IF(B16="","","Einberufung")</f>
        <v>Einberufung</v>
      </c>
      <c r="B17" s="19">
        <f t="array" ref="B17">IF(B16="","",INDEX(Personaldaten!$C$3:$C$53,MATCH(B16,Personaldaten!$B$3:$B$53,0)))</f>
        <v>45597</v>
      </c>
      <c r="C17" s="18" t="str">
        <f>IF(D16="","","Einberufung")</f>
        <v>Einberufung</v>
      </c>
      <c r="D17" s="19">
        <f t="array" ref="D17">IF(D16="","",INDEX(Personaldaten!$C$3:$C$53,MATCH(D16,Personaldaten!$B$3:$B$53,0)))</f>
        <v>45703</v>
      </c>
      <c r="E17" s="18" t="str">
        <f>IF(F16="","","Einberufung")</f>
        <v>Einberufung</v>
      </c>
      <c r="F17" s="19">
        <f t="array" ref="F17">IF(F16="","",INDEX(Personaldaten!$C$3:$C$53,MATCH(F16,Personaldaten!$B$3:$B$53,0)))</f>
        <v>45809</v>
      </c>
      <c r="G17" s="18" t="str">
        <f>IF(H16="","","Einberufung")</f>
        <v>Einberufung</v>
      </c>
      <c r="H17" s="19">
        <f t="array" ref="H17">IF(H16="","",INDEX(Personaldaten!$C$3:$C$53,MATCH(H16,Personaldaten!$B$3:$B$53,0)))</f>
        <v>45915</v>
      </c>
      <c r="I17" s="18" t="str">
        <f>IF(J16="","","Einberufung")</f>
        <v>Einberufung</v>
      </c>
      <c r="J17" s="19">
        <f t="array" ref="J17">IF(J16="","",INDEX(Personaldaten!$C$3:$C$53,MATCH(J16,Personaldaten!$B$3:$B$53,0)))</f>
        <v>45992</v>
      </c>
      <c r="K17" s="18" t="str">
        <f>IF(L16="","","Einberufung")</f>
        <v>Einberufung</v>
      </c>
      <c r="L17" s="19">
        <f t="array" ref="L17">IF(L16="","",INDEX(Personaldaten!$C$3:$C$53,MATCH(L16,Personaldaten!$B$3:$B$53,0)))</f>
        <v>45748</v>
      </c>
      <c r="M17" s="18" t="str">
        <f>IF(N16="","","Einberufung")</f>
        <v>Einberufung</v>
      </c>
      <c r="N17" s="19">
        <f t="array" ref="N17">IF(N16="","",INDEX(Personaldaten!$C$3:$C$53,MATCH(N16,Personaldaten!$B$3:$B$53,0)))</f>
        <v>45853</v>
      </c>
      <c r="O17" s="18" t="str">
        <f>IF(P16="","","Einberufung")</f>
        <v>Einberufung</v>
      </c>
      <c r="P17" s="19">
        <f t="array" ref="P17">IF(P16="","",INDEX(Personaldaten!$C$3:$C$53,MATCH(P16,Personaldaten!$B$3:$B$53,0)))</f>
        <v>45931</v>
      </c>
      <c r="Q17" s="18" t="str">
        <f>IF(R16="","","Einberufung")</f>
        <v>Einberufung</v>
      </c>
      <c r="R17" s="19">
        <f t="array" ref="R17">IF(R16="","",INDEX(Personaldaten!$C$3:$C$53,MATCH(R16,Personaldaten!$B$3:$B$53,0)))</f>
        <v>46054</v>
      </c>
    </row>
    <row r="18">
      <c r="A18" s="16" t="str">
        <f>IF(B16="","","Dienstnummer")</f>
        <v>Dienstnummer</v>
      </c>
      <c r="B18" s="15">
        <f t="array" ref="B18">IF(B16="","",INDEX(Personaldaten!$E$3:$E$53,MATCH(B16,Personaldaten!$B$3:$B$53,0)))</f>
        <v>334</v>
      </c>
      <c r="C18" s="16" t="str">
        <f>IF(D16="","","Dienstnummer")</f>
        <v>Dienstnummer</v>
      </c>
      <c r="D18" s="15">
        <f t="array" ref="D18">IF(D16="","",INDEX(Personaldaten!$E$3:$E$53,MATCH(D16,Personaldaten!$B$3:$B$53,0)))</f>
        <v>512</v>
      </c>
      <c r="E18" s="16" t="str">
        <f>IF(F16="","","Dienstnummer")</f>
        <v>Dienstnummer</v>
      </c>
      <c r="F18" s="15">
        <f t="array" ref="F18">IF(F16="","",INDEX(Personaldaten!$E$3:$E$53,MATCH(F16,Personaldaten!$B$3:$B$53,0)))</f>
        <v>467</v>
      </c>
      <c r="G18" s="16" t="str">
        <f>IF(H16="","","Dienstnummer")</f>
        <v>Dienstnummer</v>
      </c>
      <c r="H18" s="15">
        <f t="array" ref="H18">IF(H16="","",INDEX(Personaldaten!$E$3:$E$53,MATCH(H16,Personaldaten!$B$3:$B$53,0)))</f>
        <v>694</v>
      </c>
      <c r="I18" s="16" t="str">
        <f>IF(J16="","","Dienstnummer")</f>
        <v>Dienstnummer</v>
      </c>
      <c r="J18" s="15">
        <f t="array" ref="J18">IF(J16="","",INDEX(Personaldaten!$E$3:$E$53,MATCH(J16,Personaldaten!$B$3:$B$53,0)))</f>
        <v>726</v>
      </c>
      <c r="K18" s="16" t="str">
        <f>IF(L16="","","Dienstnummer")</f>
        <v>Dienstnummer</v>
      </c>
      <c r="L18" s="15">
        <f t="array" ref="L18">IF(L16="","",INDEX(Personaldaten!$E$3:$E$53,MATCH(L16,Personaldaten!$B$3:$B$53,0)))</f>
        <v>355</v>
      </c>
      <c r="M18" s="16" t="str">
        <f>IF(N16="","","Dienstnummer")</f>
        <v>Dienstnummer</v>
      </c>
      <c r="N18" s="15">
        <f t="array" ref="N18">IF(N16="","",INDEX(Personaldaten!$E$3:$E$53,MATCH(N16,Personaldaten!$B$3:$B$53,0)))</f>
        <v>602</v>
      </c>
      <c r="O18" s="16" t="str">
        <f>IF(P16="","","Dienstnummer")</f>
        <v>Dienstnummer</v>
      </c>
      <c r="P18" s="15">
        <f t="array" ref="P18">IF(P16="","",INDEX(Personaldaten!$E$3:$E$53,MATCH(P16,Personaldaten!$B$3:$B$53,0)))</f>
        <v>178</v>
      </c>
      <c r="Q18" s="16" t="str">
        <f>IF(R16="","","Dienstnummer")</f>
        <v>Dienstnummer</v>
      </c>
      <c r="R18" s="15">
        <f t="array" ref="R18">IF(R16="","",INDEX(Personaldaten!$E$3:$E$53,MATCH(R16,Personaldaten!$B$3:$B$53,0)))</f>
        <v>667</v>
      </c>
    </row>
    <row r="19">
      <c r="A19" s="16" t="str">
        <f>IF(B16="","","Anschrift")</f>
        <v>Anschrift</v>
      </c>
      <c r="B19" s="21" t="str">
        <f t="array" ref="B19">IF(B16="","",INDEX(Personaldaten!$F$3:$F$53,MATCH(B16,Personaldaten!$B$3:$B$53,0)))</f>
        <v>Hamburg</v>
      </c>
      <c r="C19" s="16" t="str">
        <f>IF(D16="","","Anschrift")</f>
        <v>Anschrift</v>
      </c>
      <c r="D19" s="21" t="str">
        <f t="array" ref="D19">IF(D16="","",INDEX(Personaldaten!$F$3:$F$53,MATCH(D16,Personaldaten!$B$3:$B$53,0)))</f>
        <v>Leipzig</v>
      </c>
      <c r="E19" s="16" t="str">
        <f>IF(F16="","","Anschrift")</f>
        <v>Anschrift</v>
      </c>
      <c r="F19" s="21" t="str">
        <f t="array" ref="F19">IF(F16="","",INDEX(Personaldaten!$F$3:$F$53,MATCH(F16,Personaldaten!$B$3:$B$53,0)))</f>
        <v>Bochum</v>
      </c>
      <c r="G19" s="16" t="str">
        <f>IF(H16="","","Anschrift")</f>
        <v>Anschrift</v>
      </c>
      <c r="H19" s="21" t="str">
        <f t="array" ref="H19">IF(H16="","",INDEX(Personaldaten!$F$3:$F$53,MATCH(H16,Personaldaten!$B$3:$B$53,0)))</f>
        <v>Augsburg</v>
      </c>
      <c r="I19" s="16" t="str">
        <f>IF(J16="","","Anschrift")</f>
        <v>Anschrift</v>
      </c>
      <c r="J19" s="21" t="str">
        <f t="array" ref="J19">IF(J16="","",INDEX(Personaldaten!$F$3:$F$53,MATCH(J16,Personaldaten!$B$3:$B$53,0)))</f>
        <v>Kiel</v>
      </c>
      <c r="K19" s="16" t="str">
        <f>IF(L16="","","Anschrift")</f>
        <v>Anschrift</v>
      </c>
      <c r="L19" s="21" t="str">
        <f t="array" ref="L19">IF(L16="","",INDEX(Personaldaten!$F$3:$F$53,MATCH(L16,Personaldaten!$B$3:$B$53,0)))</f>
        <v>Oberhausen</v>
      </c>
      <c r="M19" s="16" t="str">
        <f>IF(N16="","","Anschrift")</f>
        <v>Anschrift</v>
      </c>
      <c r="N19" s="21" t="str">
        <f t="array" ref="N19">IF(N16="","",INDEX(Personaldaten!$F$3:$F$53,MATCH(N16,Personaldaten!$B$3:$B$53,0)))</f>
        <v>Saarbrücken</v>
      </c>
      <c r="O19" s="16" t="str">
        <f>IF(P16="","","Anschrift")</f>
        <v>Anschrift</v>
      </c>
      <c r="P19" s="21" t="str">
        <f t="array" ref="P19">IF(P16="","",INDEX(Personaldaten!$F$3:$F$53,MATCH(P16,Personaldaten!$B$3:$B$53,0)))</f>
        <v>Osnabrück</v>
      </c>
      <c r="Q19" s="16" t="str">
        <f>IF(R16="","","Anschrift")</f>
        <v>Anschrift</v>
      </c>
      <c r="R19" s="21" t="str">
        <f t="array" ref="R19">IF(R16="","",INDEX(Personaldaten!$F$3:$F$53,MATCH(R16,Personaldaten!$B$3:$B$53,0)))</f>
        <v>Magdeburg</v>
      </c>
    </row>
    <row r="20">
      <c r="A20" s="16" t="str">
        <f>IF(B16="","","Dienst")</f>
        <v>Dienst</v>
      </c>
      <c r="B20" s="15" t="str">
        <f t="array" ref="B20">IF($B16="","",INDEX(Personaldaten!$J$3:$J$53,MATCH($B16,Personaldaten!$B$3:$B$53,0)))</f>
        <v>Gefreiter vom Dienst</v>
      </c>
      <c r="C20" s="16" t="str">
        <f>IF(D16="","","Dienst")</f>
        <v>Dienst</v>
      </c>
      <c r="D20" s="15" t="str">
        <f t="array" ref="D20">IF($B16="","",INDEX(Personaldaten!$J$3:$J$53,MATCH($B16,Personaldaten!$B$3:$B$53,0)))</f>
        <v>Gefreiter vom Dienst</v>
      </c>
      <c r="E20" s="16" t="str">
        <f>IF(F16="","","Dienst")</f>
        <v>Dienst</v>
      </c>
      <c r="F20" s="15" t="str">
        <f t="array" ref="F20">IF($B16="","",INDEX(Personaldaten!$J$3:$J$53,MATCH($B16,Personaldaten!$B$3:$B$53,0)))</f>
        <v>Gefreiter vom Dienst</v>
      </c>
      <c r="G20" s="16" t="str">
        <f>IF(H16="","","Dienst")</f>
        <v>Dienst</v>
      </c>
      <c r="H20" s="15" t="str">
        <f t="array" ref="H20">IF($B16="","",INDEX(Personaldaten!$J$3:$J$53,MATCH($B16,Personaldaten!$B$3:$B$53,0)))</f>
        <v>Gefreiter vom Dienst</v>
      </c>
      <c r="I20" s="16" t="str">
        <f>IF(J16="","","Dienst")</f>
        <v>Dienst</v>
      </c>
      <c r="J20" s="15" t="str">
        <f t="array" ref="J20">IF($B16="","",INDEX(Personaldaten!$J$3:$J$53,MATCH($B16,Personaldaten!$B$3:$B$53,0)))</f>
        <v>Gefreiter vom Dienst</v>
      </c>
      <c r="K20" s="16" t="str">
        <f>IF(L16="","","Dienst")</f>
        <v>Dienst</v>
      </c>
      <c r="L20" s="15" t="str">
        <f t="array" ref="L20">IF($B16="","",INDEX(Personaldaten!$J$3:$J$53,MATCH($B16,Personaldaten!$B$3:$B$53,0)))</f>
        <v>Gefreiter vom Dienst</v>
      </c>
      <c r="M20" s="16" t="str">
        <f>IF(N16="","","Dienst")</f>
        <v>Dienst</v>
      </c>
      <c r="N20" s="15" t="str">
        <f t="array" ref="N20">IF($B16="","",INDEX(Personaldaten!$J$3:$J$53,MATCH($B16,Personaldaten!$B$3:$B$53,0)))</f>
        <v>Gefreiter vom Dienst</v>
      </c>
      <c r="O20" s="16" t="str">
        <f>IF(P16="","","Dienst")</f>
        <v>Dienst</v>
      </c>
      <c r="P20" s="15" t="str">
        <f t="array" ref="P20">IF($B16="","",INDEX(Personaldaten!$J$3:$J$53,MATCH($B16,Personaldaten!$B$3:$B$53,0)))</f>
        <v>Gefreiter vom Dienst</v>
      </c>
      <c r="Q20" s="16" t="str">
        <f>IF(R16="","","Dienst")</f>
        <v>Dienst</v>
      </c>
      <c r="R20" s="15" t="str">
        <f t="array" ref="R20">IF($B16="","",INDEX(Personaldaten!$J$3:$J$53,MATCH($B16,Personaldaten!$B$3:$B$53,0)))</f>
        <v>Gefreiter vom Dienst</v>
      </c>
    </row>
    <row r="21">
      <c r="B21" s="15"/>
      <c r="D21" s="15"/>
      <c r="F21" s="15"/>
      <c r="H21" s="15"/>
      <c r="J21" s="15"/>
      <c r="L21" s="15"/>
      <c r="N21" s="15"/>
      <c r="P21" s="15"/>
      <c r="R21" s="15"/>
    </row>
    <row r="22">
      <c r="A22" s="16" t="str">
        <f t="array" ref="A22">IF(B22="","",INDEX(Personaldaten!$A$3:$A$53,MATCH(B22,Personaldaten!$B$3:$B$53,0)))</f>
        <v>Hauptgefreiter</v>
      </c>
      <c r="B22" s="17" t="str">
        <f>IF(Eingabetabelle!B7=0,"",Eingabetabelle!B7)</f>
        <v>Leon Weber</v>
      </c>
      <c r="C22" s="16" t="str">
        <f t="array" ref="C22">IF(D22="","",INDEX(Personaldaten!$A$3:$A$53,MATCH(D22,Personaldaten!$B$3:$B$53,0)))</f>
        <v>Hauptgefreiter</v>
      </c>
      <c r="D22" s="17" t="str">
        <f>IF(Eingabetabelle!D7=0,"",Eingabetabelle!D7)</f>
        <v>Anton Koch</v>
      </c>
      <c r="E22" s="16" t="str">
        <f t="array" ref="E22">IF(F22="","",INDEX(Personaldaten!$A$3:$A$53,MATCH(F22,Personaldaten!$B$3:$B$53,0)))</f>
        <v>Obergefreiter</v>
      </c>
      <c r="F22" s="17" t="str">
        <f>IF(Eingabetabelle!F7=0,"",Eingabetabelle!F7)</f>
        <v>Nico Schwarz</v>
      </c>
      <c r="G22" s="16" t="str">
        <f t="array" ref="G22">IF(H22="","",INDEX(Personaldaten!$A$3:$A$53,MATCH(H22,Personaldaten!$B$3:$B$53,0)))</f>
        <v>Gefreiter</v>
      </c>
      <c r="H22" s="17" t="str">
        <f>IF(Eingabetabelle!H7=0,"",Eingabetabelle!H7)</f>
        <v>Simon Schmitt</v>
      </c>
      <c r="I22" s="16" t="str">
        <f t="array" ref="I22">IF(J22="","",INDEX(Personaldaten!$A$3:$A$53,MATCH(J22,Personaldaten!$B$3:$B$53,0)))</f>
        <v>Gefreiter</v>
      </c>
      <c r="J22" s="17" t="str">
        <f>IF(Eingabetabelle!J7=0,"",Eingabetabelle!J7)</f>
        <v>Vincent Berger</v>
      </c>
      <c r="K22" s="16" t="str">
        <f t="array" ref="K22">IF(L22="","",INDEX(Personaldaten!$A$3:$A$53,MATCH(L22,Personaldaten!$B$3:$B$53,0)))</f>
        <v>Hauptgefreiter</v>
      </c>
      <c r="L22" s="17" t="str">
        <f>IF(Eingabetabelle!L7=0,"",Eingabetabelle!L7)</f>
        <v>Thomas Böhm</v>
      </c>
      <c r="M22" s="16" t="str">
        <f t="array" ref="M22">IF(N22="","",INDEX(Personaldaten!$A$3:$A$53,MATCH(N22,Personaldaten!$B$3:$B$53,0)))</f>
        <v>Hauptgefreiter</v>
      </c>
      <c r="N22" s="17" t="str">
        <f>IF(Eingabetabelle!N7=0,"",Eingabetabelle!N7)</f>
        <v>Holger Scholz</v>
      </c>
      <c r="O22" s="16" t="str">
        <f t="array" ref="O22">IF(P22="","",INDEX(Personaldaten!$A$3:$A$53,MATCH(P22,Personaldaten!$B$3:$B$53,0)))</f>
        <v>Hauptgefreiter</v>
      </c>
      <c r="P22" s="17" t="str">
        <f>IF(Eingabetabelle!P7=0,"",Eingabetabelle!P7)</f>
        <v>Klaus Hahn</v>
      </c>
      <c r="Q22" s="16" t="str">
        <f t="array" ref="Q22">IF(R22="","",INDEX(Personaldaten!$A$3:$A$53,MATCH(R22,Personaldaten!$B$3:$B$53,0)))</f>
        <v>Gefreiter</v>
      </c>
      <c r="R22" s="17" t="str">
        <f>IF(Eingabetabelle!R7=0,"",Eingabetabelle!R7)</f>
        <v>Kevin Lorenz</v>
      </c>
    </row>
    <row r="23">
      <c r="A23" s="18" t="str">
        <f>IF(B22="","","Einberufung")</f>
        <v>Einberufung</v>
      </c>
      <c r="B23" s="19">
        <f t="array" ref="B23">IF(B22="","",INDEX(Personaldaten!$C$3:$C$53,MATCH(B22,Personaldaten!$B$3:$B$53,0)))</f>
        <v>45611</v>
      </c>
      <c r="C23" s="18" t="str">
        <f>IF(D22="","","Einberufung")</f>
        <v>Einberufung</v>
      </c>
      <c r="D23" s="19">
        <f t="array" ref="D23">IF(D22="","",INDEX(Personaldaten!$C$3:$C$53,MATCH(D22,Personaldaten!$B$3:$B$53,0)))</f>
        <v>45717</v>
      </c>
      <c r="E23" s="18" t="str">
        <f>IF(F22="","","Einberufung")</f>
        <v>Einberufung</v>
      </c>
      <c r="F23" s="19">
        <f t="array" ref="F23">IF(F22="","",INDEX(Personaldaten!$C$3:$C$53,MATCH(F22,Personaldaten!$B$3:$B$53,0)))</f>
        <v>45823</v>
      </c>
      <c r="G23" s="18" t="str">
        <f>IF(H22="","","Einberufung")</f>
        <v>Einberufung</v>
      </c>
      <c r="H23" s="19">
        <f t="array" ref="H23">IF(H22="","",INDEX(Personaldaten!$C$3:$C$53,MATCH(H22,Personaldaten!$B$3:$B$53,0)))</f>
        <v>45931</v>
      </c>
      <c r="I23" s="18" t="str">
        <f>IF(J22="","","Einberufung")</f>
        <v>Einberufung</v>
      </c>
      <c r="J23" s="19">
        <f t="array" ref="J23">IF(J22="","",INDEX(Personaldaten!$C$3:$C$53,MATCH(J22,Personaldaten!$B$3:$B$53,0)))</f>
        <v>46006</v>
      </c>
      <c r="K23" s="18" t="str">
        <f>IF(L22="","","Einberufung")</f>
        <v>Einberufung</v>
      </c>
      <c r="L23" s="19">
        <f t="array" ref="L23">IF(L22="","",INDEX(Personaldaten!$C$3:$C$53,MATCH(L22,Personaldaten!$B$3:$B$53,0)))</f>
        <v>45762</v>
      </c>
      <c r="M23" s="18" t="str">
        <f>IF(N22="","","Einberufung")</f>
        <v>Einberufung</v>
      </c>
      <c r="N23" s="19">
        <f t="array" ref="N23">IF(N22="","",INDEX(Personaldaten!$C$3:$C$53,MATCH(N22,Personaldaten!$B$3:$B$53,0)))</f>
        <v>45870</v>
      </c>
      <c r="O23" s="18" t="str">
        <f>IF(P22="","","Einberufung")</f>
        <v>Einberufung</v>
      </c>
      <c r="P23" s="19">
        <f t="array" ref="P23">IF(P22="","",INDEX(Personaldaten!$C$3:$C$53,MATCH(P22,Personaldaten!$B$3:$B$53,0)))</f>
        <v>45945</v>
      </c>
      <c r="Q23" s="18" t="str">
        <f>IF(R22="","","Einberufung")</f>
        <v>Einberufung</v>
      </c>
      <c r="R23" s="19">
        <f t="array" ref="R23">IF(R22="","",INDEX(Personaldaten!$C$3:$C$53,MATCH(R22,Personaldaten!$B$3:$B$53,0)))</f>
        <v>46068</v>
      </c>
    </row>
    <row r="24">
      <c r="A24" s="16" t="str">
        <f>IF(B22="","","Dienstnummer")</f>
        <v>Dienstnummer</v>
      </c>
      <c r="B24" s="15">
        <f t="array" ref="B24">IF(B22="","",INDEX(Personaldaten!$E$3:$E$53,MATCH(B22,Personaldaten!$B$3:$B$53,0)))</f>
        <v>901</v>
      </c>
      <c r="C24" s="16" t="str">
        <f>IF(D22="","","Dienstnummer")</f>
        <v>Dienstnummer</v>
      </c>
      <c r="D24" s="15">
        <f t="array" ref="D24">IF(D22="","",INDEX(Personaldaten!$E$3:$E$53,MATCH(D22,Personaldaten!$B$3:$B$53,0)))</f>
        <v>390</v>
      </c>
      <c r="E24" s="16" t="str">
        <f>IF(F22="","","Dienstnummer")</f>
        <v>Dienstnummer</v>
      </c>
      <c r="F24" s="15">
        <f t="array" ref="F24">IF(F22="","",INDEX(Personaldaten!$E$3:$E$53,MATCH(F22,Personaldaten!$B$3:$B$53,0)))</f>
        <v>621</v>
      </c>
      <c r="G24" s="16" t="str">
        <f>IF(H22="","","Dienstnummer")</f>
        <v>Dienstnummer</v>
      </c>
      <c r="H24" s="15">
        <f t="array" ref="H24">IF(H22="","",INDEX(Personaldaten!$E$3:$E$53,MATCH(H22,Personaldaten!$B$3:$B$53,0)))</f>
        <v>319</v>
      </c>
      <c r="I24" s="16" t="str">
        <f>IF(J22="","","Dienstnummer")</f>
        <v>Dienstnummer</v>
      </c>
      <c r="J24" s="15">
        <f t="array" ref="J24">IF(J22="","",INDEX(Personaldaten!$E$3:$E$53,MATCH(J22,Personaldaten!$B$3:$B$53,0)))</f>
        <v>503</v>
      </c>
      <c r="K24" s="16" t="str">
        <f>IF(L22="","","Dienstnummer")</f>
        <v>Dienstnummer</v>
      </c>
      <c r="L24" s="15">
        <f t="array" ref="L24">IF(L22="","",INDEX(Personaldaten!$E$3:$E$53,MATCH(L22,Personaldaten!$B$3:$B$53,0)))</f>
        <v>578</v>
      </c>
      <c r="M24" s="16" t="str">
        <f>IF(N22="","","Dienstnummer")</f>
        <v>Dienstnummer</v>
      </c>
      <c r="N24" s="15">
        <f t="array" ref="N24">IF(N22="","",INDEX(Personaldaten!$E$3:$E$53,MATCH(N22,Personaldaten!$B$3:$B$53,0)))</f>
        <v>265</v>
      </c>
      <c r="O24" s="16" t="str">
        <f>IF(P22="","","Dienstnummer")</f>
        <v>Dienstnummer</v>
      </c>
      <c r="P24" s="15">
        <f t="array" ref="P24">IF(P22="","",INDEX(Personaldaten!$E$3:$E$53,MATCH(P22,Personaldaten!$B$3:$B$53,0)))</f>
        <v>750</v>
      </c>
      <c r="Q24" s="16" t="str">
        <f>IF(R22="","","Dienstnummer")</f>
        <v>Dienstnummer</v>
      </c>
      <c r="R24" s="15">
        <f t="array" ref="R24">IF(R22="","",INDEX(Personaldaten!$E$3:$E$53,MATCH(R22,Personaldaten!$B$3:$B$53,0)))</f>
        <v>412</v>
      </c>
    </row>
    <row r="25">
      <c r="A25" s="16" t="str">
        <f>IF(B22="","","Anschrift")</f>
        <v>Anschrift</v>
      </c>
      <c r="B25" s="21" t="str">
        <f t="array" ref="B25">IF(B22="","",INDEX(Personaldaten!$F$3:$F$53,MATCH(B22,Personaldaten!$B$3:$B$53,0)))</f>
        <v>München</v>
      </c>
      <c r="C25" s="16" t="str">
        <f>IF(D22="","","Anschrift")</f>
        <v>Anschrift</v>
      </c>
      <c r="D25" s="21" t="str">
        <f t="array" ref="D25">IF(D22="","",INDEX(Personaldaten!$F$3:$F$53,MATCH(D22,Personaldaten!$B$3:$B$53,0)))</f>
        <v>Essen</v>
      </c>
      <c r="E25" s="16" t="str">
        <f>IF(F22="","","Anschrift")</f>
        <v>Anschrift</v>
      </c>
      <c r="F25" s="21" t="str">
        <f t="array" ref="F25">IF(F22="","",INDEX(Personaldaten!$F$3:$F$53,MATCH(F22,Personaldaten!$B$3:$B$53,0)))</f>
        <v>Wuppertal</v>
      </c>
      <c r="G25" s="16" t="str">
        <f>IF(H22="","","Anschrift")</f>
        <v>Anschrift</v>
      </c>
      <c r="H25" s="21" t="str">
        <f t="array" ref="H25">IF(H22="","",INDEX(Personaldaten!$F$3:$F$53,MATCH(H22,Personaldaten!$B$3:$B$53,0)))</f>
        <v>Wiesbaden</v>
      </c>
      <c r="I25" s="16" t="str">
        <f>IF(J22="","","Anschrift")</f>
        <v>Anschrift</v>
      </c>
      <c r="J25" s="21" t="str">
        <f t="array" ref="J25">IF(J22="","",INDEX(Personaldaten!$F$3:$F$53,MATCH(J22,Personaldaten!$B$3:$B$53,0)))</f>
        <v>Chemnitz</v>
      </c>
      <c r="K25" s="16" t="str">
        <f>IF(L22="","","Anschrift")</f>
        <v>Anschrift</v>
      </c>
      <c r="L25" s="21" t="str">
        <f t="array" ref="L25">IF(L22="","",INDEX(Personaldaten!$F$3:$F$53,MATCH(L22,Personaldaten!$B$3:$B$53,0)))</f>
        <v>Erfurt</v>
      </c>
      <c r="M25" s="16" t="str">
        <f>IF(N22="","","Anschrift")</f>
        <v>Anschrift</v>
      </c>
      <c r="N25" s="21" t="str">
        <f t="array" ref="N25">IF(N22="","",INDEX(Personaldaten!$F$3:$F$53,MATCH(N22,Personaldaten!$B$3:$B$53,0)))</f>
        <v>Potsdam</v>
      </c>
      <c r="O25" s="16" t="str">
        <f>IF(P22="","","Anschrift")</f>
        <v>Anschrift</v>
      </c>
      <c r="P25" s="21" t="str">
        <f t="array" ref="P25">IF(P22="","",INDEX(Personaldaten!$F$3:$F$53,MATCH(P22,Personaldaten!$B$3:$B$53,0)))</f>
        <v>Solingen</v>
      </c>
      <c r="Q25" s="16" t="str">
        <f>IF(R22="","","Anschrift")</f>
        <v>Anschrift</v>
      </c>
      <c r="R25" s="21" t="str">
        <f t="array" ref="R25">IF(R22="","",INDEX(Personaldaten!$F$3:$F$53,MATCH(R22,Personaldaten!$B$3:$B$53,0)))</f>
        <v>Freiburg</v>
      </c>
    </row>
    <row r="26">
      <c r="A26" s="16" t="str">
        <f>IF(B22="","","Dienst")</f>
        <v>Dienst</v>
      </c>
      <c r="B26" s="15" t="str">
        <f t="array" ref="B26">IF(B22="","",INDEX(Personaldaten!$J$3:$J$53,MATCH(B22,Personaldaten!$B$3:$B$53,0)))</f>
        <v>Revierreinigen</v>
      </c>
      <c r="C26" s="16" t="str">
        <f>IF(D22="","","Dienst")</f>
        <v>Dienst</v>
      </c>
      <c r="D26" s="15" t="str">
        <f t="array" ref="D26">IF(D22="","",INDEX(Personaldaten!$J$3:$J$53,MATCH(D22,Personaldaten!$B$3:$B$53,0)))</f>
        <v>Parkdienst Fuhrpark</v>
      </c>
      <c r="E26" s="16" t="str">
        <f>IF(F22="","","Dienst")</f>
        <v>Dienst</v>
      </c>
      <c r="F26" s="15" t="str">
        <f t="array" ref="F26">IF(F22="","",INDEX(Personaldaten!$J$3:$J$53,MATCH(F22,Personaldaten!$B$3:$B$53,0)))</f>
        <v>Wachdienst Tor</v>
      </c>
      <c r="G26" s="16" t="str">
        <f>IF(H22="","","Dienst")</f>
        <v>Dienst</v>
      </c>
      <c r="H26" s="15" t="str">
        <f t="array" ref="H26">IF(H22="","",INDEX(Personaldaten!$J$3:$J$53,MATCH(H22,Personaldaten!$B$3:$B$53,0)))</f>
        <v>Gefreiter vom Dienst</v>
      </c>
      <c r="I26" s="16" t="str">
        <f>IF(J22="","","Dienst")</f>
        <v>Dienst</v>
      </c>
      <c r="J26" s="15" t="str">
        <f t="array" ref="J26">IF(J22="","",INDEX(Personaldaten!$J$3:$J$53,MATCH(J22,Personaldaten!$B$3:$B$53,0)))</f>
        <v>Wachdienst Tor</v>
      </c>
      <c r="K26" s="16" t="str">
        <f>IF(L22="","","Dienst")</f>
        <v>Dienst</v>
      </c>
      <c r="L26" s="15" t="str">
        <f t="array" ref="L26">IF(L22="","",INDEX(Personaldaten!$J$3:$J$53,MATCH(L22,Personaldaten!$B$3:$B$53,0)))</f>
        <v>Streifendienst</v>
      </c>
      <c r="M26" s="16" t="str">
        <f>IF(N22="","","Dienst")</f>
        <v>Dienst</v>
      </c>
      <c r="N26" s="15" t="str">
        <f t="array" ref="N26">IF(N22="","",INDEX(Personaldaten!$J$3:$J$53,MATCH(N22,Personaldaten!$B$3:$B$53,0)))</f>
        <v>Waffenreinigen</v>
      </c>
      <c r="O26" s="16" t="str">
        <f>IF(P22="","","Dienst")</f>
        <v>Dienst</v>
      </c>
      <c r="P26" s="15" t="str">
        <f t="array" ref="P26">IF(P22="","",INDEX(Personaldaten!$J$3:$J$53,MATCH(P22,Personaldaten!$B$3:$B$53,0)))</f>
        <v>Gefreiter vom Dienst</v>
      </c>
      <c r="Q26" s="16" t="str">
        <f>IF(R22="","","Dienst")</f>
        <v>Dienst</v>
      </c>
      <c r="R26" s="15" t="str">
        <f t="array" ref="R26">IF(R22="","",INDEX(Personaldaten!$J$3:$J$53,MATCH(R22,Personaldaten!$B$3:$B$53,0)))</f>
        <v>Revierreinigen</v>
      </c>
    </row>
    <row r="27">
      <c r="B27" s="17"/>
      <c r="D27" s="17"/>
      <c r="F27" s="17"/>
      <c r="H27" s="17"/>
      <c r="J27" s="17"/>
      <c r="L27" s="17"/>
      <c r="N27" s="17"/>
      <c r="P27" s="17"/>
      <c r="R27" s="17"/>
    </row>
    <row r="28">
      <c r="A28" s="16" t="str">
        <f t="array" ref="A28">IF(B28="","",INDEX(Personaldaten!$A$3:$A$53,MATCH(B28,Personaldaten!$B$3:$B$53,0)))</f>
        <v>Stabsgefreiter</v>
      </c>
      <c r="B28" s="17" t="str">
        <f>IF(Eingabetabelle!B8=0,"",Eingabetabelle!B8)</f>
        <v>Elias Meyer</v>
      </c>
      <c r="C28" s="16" t="str">
        <f t="array" ref="C28">IF(D28="","",INDEX(Personaldaten!$A$3:$A$53,MATCH(D28,Personaldaten!$B$3:$B$53,0)))</f>
        <v>Obergefreiter</v>
      </c>
      <c r="D28" s="17" t="str">
        <f>IF(Eingabetabelle!D8=0,"",Eingabetabelle!D8)</f>
        <v>Ben Bauer</v>
      </c>
      <c r="E28" s="16" t="str">
        <f t="array" ref="E28">IF(F28="","",INDEX(Personaldaten!$A$3:$A$53,MATCH(F28,Personaldaten!$B$3:$B$53,0)))</f>
        <v>Feldwebel</v>
      </c>
      <c r="F28" s="17" t="str">
        <f>IF(Eingabetabelle!F8=0,"",Eingabetabelle!F8)</f>
        <v>Tim Zimmermann</v>
      </c>
      <c r="G28" s="16" t="str">
        <f t="array" ref="G28">IF(H28="","",INDEX(Personaldaten!$A$3:$A$53,MATCH(H28,Personaldaten!$B$3:$B$53,0)))</f>
        <v>Unteroffizier</v>
      </c>
      <c r="H28" s="17" t="str">
        <f>IF(Eingabetabelle!H8=0,"",Eingabetabelle!H8)</f>
        <v>Matteo Werner</v>
      </c>
      <c r="I28" s="16" t="str">
        <f t="array" ref="I28">IF(J28="","",INDEX(Personaldaten!$A$3:$A$53,MATCH(J28,Personaldaten!$B$3:$B$53,0)))</f>
        <v/>
      </c>
      <c r="J28" s="17" t="str">
        <f>IF(Eingabetabelle!J8=0,"",Eingabetabelle!J8)</f>
        <v/>
      </c>
      <c r="K28" s="16" t="str">
        <f t="array" ref="K28">IF(L28="","",INDEX(Personaldaten!$A$3:$A$53,MATCH(L28,Personaldaten!$B$3:$B$53,0)))</f>
        <v>Gefreiter</v>
      </c>
      <c r="L28" s="17" t="str">
        <f>IF(Eingabetabelle!L8=0,"",Eingabetabelle!L8)</f>
        <v>Patrick Krause</v>
      </c>
      <c r="M28" s="16" t="str">
        <f t="array" ref="M28">IF(N28="","",INDEX(Personaldaten!$A$3:$A$53,MATCH(N28,Personaldaten!$B$3:$B$53,0)))</f>
        <v>Unteroffizier</v>
      </c>
      <c r="N28" s="17" t="str">
        <f>IF(Eingabetabelle!N8=0,"",Eingabetabelle!N8)</f>
        <v>Peter Graf</v>
      </c>
      <c r="O28" s="16" t="str">
        <f t="array" ref="O28">IF(P28="","",INDEX(Personaldaten!$A$3:$A$53,MATCH(P28,Personaldaten!$B$3:$B$53,0)))</f>
        <v/>
      </c>
      <c r="P28" s="17" t="str">
        <f>IF(Eingabetabelle!P8=0,"",Eingabetabelle!P8)</f>
        <v/>
      </c>
      <c r="Q28" s="16" t="str">
        <f t="array" ref="Q28">IF(R28="","",INDEX(Personaldaten!$A$3:$A$53,MATCH(R28,Personaldaten!$B$3:$B$53,0)))</f>
        <v/>
      </c>
      <c r="R28" s="17" t="str">
        <f>IF(Eingabetabelle!R8=0,"",Eingabetabelle!R8)</f>
        <v/>
      </c>
    </row>
    <row r="29">
      <c r="A29" s="18" t="str">
        <f>IF(B28="","","Einberufung")</f>
        <v>Einberufung</v>
      </c>
      <c r="B29" s="19">
        <f t="array" ref="B29">IF(B28="","",INDEX(Personaldaten!$C$3:$C$53,MATCH(B28,Personaldaten!$B$3:$B$53,0)))</f>
        <v>45627</v>
      </c>
      <c r="C29" s="18" t="str">
        <f>IF(D28="","","Einberufung")</f>
        <v>Einberufung</v>
      </c>
      <c r="D29" s="19">
        <f t="array" ref="D29">IF(D28="","",INDEX(Personaldaten!$C$3:$C$53,MATCH(D28,Personaldaten!$B$3:$B$53,0)))</f>
        <v>45731</v>
      </c>
      <c r="E29" s="18" t="str">
        <f>IF(F28="","","Einberufung")</f>
        <v>Einberufung</v>
      </c>
      <c r="F29" s="19">
        <f t="array" ref="F29">IF(F28="","",INDEX(Personaldaten!$C$3:$C$53,MATCH(F28,Personaldaten!$B$3:$B$53,0)))</f>
        <v>45839</v>
      </c>
      <c r="G29" s="18" t="str">
        <f>IF(H28="","","Einberufung")</f>
        <v>Einberufung</v>
      </c>
      <c r="H29" s="19">
        <f t="array" ref="H29">IF(H28="","",INDEX(Personaldaten!$C$3:$C$53,MATCH(H28,Personaldaten!$B$3:$B$53,0)))</f>
        <v>45945</v>
      </c>
      <c r="I29" s="18" t="str">
        <f>IF(J28="","","Einberufung")</f>
        <v/>
      </c>
      <c r="J29" s="15" t="str">
        <f t="array" ref="J29">IF(J28="","",INDEX(Personaldaten!$C$3:$C$53,MATCH(J28,Personaldaten!$B$3:$B$53,0)))</f>
        <v/>
      </c>
      <c r="K29" s="18" t="str">
        <f>IF(L28="","","Einberufung")</f>
        <v>Einberufung</v>
      </c>
      <c r="L29" s="19">
        <f t="array" ref="L29">IF(L28="","",INDEX(Personaldaten!$C$3:$C$53,MATCH(L28,Personaldaten!$B$3:$B$53,0)))</f>
        <v>45778</v>
      </c>
      <c r="M29" s="18" t="str">
        <f>IF(N28="","","Einberufung")</f>
        <v>Einberufung</v>
      </c>
      <c r="N29" s="20">
        <f t="array" ref="N29">IF(N28="","",INDEX(Personaldaten!$C$3:$C$53,MATCH(N28,Personaldaten!$B$3:$B$53,0)))</f>
        <v>45884</v>
      </c>
      <c r="O29" s="18" t="str">
        <f>IF(P28="","","Einberufung")</f>
        <v/>
      </c>
      <c r="P29" s="15" t="str">
        <f t="array" ref="P29">IF(P28="","",INDEX(Personaldaten!$C$3:$C$53,MATCH(P28,Personaldaten!$B$3:$B$53,0)))</f>
        <v/>
      </c>
      <c r="Q29" s="18" t="str">
        <f>IF(R28="","","Einberufung")</f>
        <v/>
      </c>
      <c r="R29" s="15" t="str">
        <f t="array" ref="R29">IF(R28="","",INDEX(Personaldaten!$C$3:$C$53,MATCH(R28,Personaldaten!$B$3:$B$53,0)))</f>
        <v/>
      </c>
    </row>
    <row r="30">
      <c r="A30" s="16" t="str">
        <f>IF(B28="","","Dienstnummer")</f>
        <v>Dienstnummer</v>
      </c>
      <c r="B30" s="15">
        <f t="array" ref="B30">IF(B28="","",INDEX(Personaldaten!$E$3:$E$53,MATCH(B28,Personaldaten!$B$3:$B$53,0)))</f>
        <v>156</v>
      </c>
      <c r="C30" s="16" t="str">
        <f>IF(D28="","","Dienstnummer")</f>
        <v>Dienstnummer</v>
      </c>
      <c r="D30" s="15">
        <f t="array" ref="D30">IF(D28="","",INDEX(Personaldaten!$E$3:$E$53,MATCH(D28,Personaldaten!$B$3:$B$53,0)))</f>
        <v>845</v>
      </c>
      <c r="E30" s="16" t="str">
        <f>IF(F28="","","Dienstnummer")</f>
        <v>Dienstnummer</v>
      </c>
      <c r="F30" s="15">
        <f t="array" ref="F30">IF(F28="","",INDEX(Personaldaten!$E$3:$E$53,MATCH(F28,Personaldaten!$B$3:$B$53,0)))</f>
        <v>305</v>
      </c>
      <c r="G30" s="16" t="str">
        <f>IF(H28="","","Dienstnummer")</f>
        <v>Dienstnummer</v>
      </c>
      <c r="H30" s="15">
        <f t="array" ref="H30">IF(H28="","",INDEX(Personaldaten!$E$3:$E$53,MATCH(H28,Personaldaten!$B$3:$B$53,0)))</f>
        <v>954</v>
      </c>
      <c r="I30" s="16" t="str">
        <f>IF(J28="","","Dienstnummer")</f>
        <v/>
      </c>
      <c r="J30" s="15" t="str">
        <f t="array" ref="J30">IF(J28="","",INDEX(Personaldaten!$E$3:$E$53,MATCH(J28,Personaldaten!$B$3:$B$53,0)))</f>
        <v/>
      </c>
      <c r="K30" s="16" t="str">
        <f>IF(L28="","","Dienstnummer")</f>
        <v>Dienstnummer</v>
      </c>
      <c r="L30" s="15">
        <f t="array" ref="L30">IF(L28="","",INDEX(Personaldaten!$E$3:$E$53,MATCH(L28,Personaldaten!$B$3:$B$53,0)))</f>
        <v>224</v>
      </c>
      <c r="M30" s="16" t="str">
        <f>IF(N28="","","Dienstnummer")</f>
        <v>Dienstnummer</v>
      </c>
      <c r="N30" s="15">
        <f t="array" ref="N30">IF(N28="","",INDEX(Personaldaten!$E$3:$E$53,MATCH(N28,Personaldaten!$B$3:$B$53,0)))</f>
        <v>981</v>
      </c>
      <c r="O30" s="16" t="str">
        <f>IF(P28="","","Dienstnummer")</f>
        <v/>
      </c>
      <c r="P30" s="15" t="str">
        <f t="array" ref="P30">IF(P28="","",INDEX(Personaldaten!$E$3:$E$53,MATCH(P28,Personaldaten!$B$3:$B$53,0)))</f>
        <v/>
      </c>
      <c r="Q30" s="16" t="str">
        <f>IF(R28="","","Dienstnummer")</f>
        <v/>
      </c>
      <c r="R30" s="15" t="str">
        <f t="array" ref="R30">IF(R28="","",INDEX(Personaldaten!$E$3:$E$53,MATCH(R28,Personaldaten!$B$3:$B$53,0)))</f>
        <v/>
      </c>
    </row>
    <row r="31">
      <c r="A31" s="16" t="str">
        <f>IF(B28="","","Anschrift")</f>
        <v>Anschrift</v>
      </c>
      <c r="B31" s="21" t="str">
        <f t="array" ref="B31">IF(B28="","",INDEX(Personaldaten!$F$3:$F$53,MATCH(B28,Personaldaten!$B$3:$B$53,0)))</f>
        <v>Köln</v>
      </c>
      <c r="C31" s="16" t="str">
        <f>IF(D28="","","Anschrift")</f>
        <v>Anschrift</v>
      </c>
      <c r="D31" s="21" t="str">
        <f t="array" ref="D31">IF(D28="","",INDEX(Personaldaten!$F$3:$F$53,MATCH(D28,Personaldaten!$B$3:$B$53,0)))</f>
        <v>Bremen</v>
      </c>
      <c r="E31" s="16" t="str">
        <f>IF(F28="","","Anschrift")</f>
        <v>Anschrift</v>
      </c>
      <c r="F31" s="21" t="str">
        <f t="array" ref="F31">IF(F28="","",INDEX(Personaldaten!$F$3:$F$53,MATCH(F28,Personaldaten!$B$3:$B$53,0)))</f>
        <v>Bielefeld</v>
      </c>
      <c r="G31" s="16" t="str">
        <f>IF(H28="","","Anschrift")</f>
        <v>Anschrift</v>
      </c>
      <c r="H31" s="21" t="str">
        <f t="array" ref="H31">IF(H28="","",INDEX(Personaldaten!$F$3:$F$53,MATCH(H28,Personaldaten!$B$3:$B$53,0)))</f>
        <v>Gelsenkirchen</v>
      </c>
      <c r="I31" s="16" t="str">
        <f>IF(J28="","","Anschrift")</f>
        <v/>
      </c>
      <c r="J31" s="15" t="str">
        <f t="array" ref="J31">IF(J28="","",INDEX(Personaldaten!$F$3:$F$53,MATCH(J28,Personaldaten!$B$3:$B$53,0)))</f>
        <v/>
      </c>
      <c r="K31" s="16" t="str">
        <f>IF(L28="","","Anschrift")</f>
        <v>Anschrift</v>
      </c>
      <c r="L31" s="21" t="str">
        <f t="array" ref="L31">IF(L28="","",INDEX(Personaldaten!$F$3:$F$53,MATCH(L28,Personaldaten!$B$3:$B$53,0)))</f>
        <v>Mainz</v>
      </c>
      <c r="M31" s="16" t="str">
        <f>IF(N28="","","Anschrift")</f>
        <v>Anschrift</v>
      </c>
      <c r="N31" s="21" t="str">
        <f t="array" ref="N31">IF(N28="","",INDEX(Personaldaten!$F$3:$F$53,MATCH(N28,Personaldaten!$B$3:$B$53,0)))</f>
        <v>Ludwigshafen</v>
      </c>
      <c r="O31" s="16" t="str">
        <f>IF(P28="","","Anschrift")</f>
        <v/>
      </c>
      <c r="P31" s="15" t="str">
        <f t="array" ref="P31">IF(P28="","",INDEX(Personaldaten!$F$3:$F$53,MATCH(P28,Personaldaten!$B$3:$B$53,0)))</f>
        <v/>
      </c>
      <c r="Q31" s="16" t="str">
        <f>IF(R28="","","Anschrift")</f>
        <v/>
      </c>
      <c r="R31" s="15" t="str">
        <f t="array" ref="R31">IF(R28="","",INDEX(Personaldaten!$F$3:$F$53,MATCH(R28,Personaldaten!$B$3:$B$53,0)))</f>
        <v/>
      </c>
    </row>
    <row r="32">
      <c r="A32" s="16" t="str">
        <f>IF(B28="","","Dienst")</f>
        <v>Dienst</v>
      </c>
      <c r="B32" s="15" t="str">
        <f t="array" ref="B32">IF(B28="","",INDEX(Personaldaten!$J$3:$J$53,MATCH(B28,Personaldaten!$B$3:$B$53,0)))</f>
        <v>Streifendienst</v>
      </c>
      <c r="C32" s="16" t="str">
        <f>IF(D28="","","Dienst")</f>
        <v>Dienst</v>
      </c>
      <c r="D32" s="15" t="str">
        <f t="array" ref="D32">IF(D28="","",INDEX(Personaldaten!$J$3:$J$53,MATCH(D28,Personaldaten!$B$3:$B$53,0)))</f>
        <v>Wachdienst Tor</v>
      </c>
      <c r="E32" s="16" t="str">
        <f>IF(F28="","","Dienst")</f>
        <v>Dienst</v>
      </c>
      <c r="F32" s="15" t="str">
        <f t="array" ref="F32">IF(F28="","",INDEX(Personaldaten!$J$3:$J$53,MATCH(F28,Personaldaten!$B$3:$B$53,0)))</f>
        <v>Gefreiter vom Dienst</v>
      </c>
      <c r="G32" s="16" t="str">
        <f>IF(H28="","","Dienst")</f>
        <v>Dienst</v>
      </c>
      <c r="H32" s="15" t="str">
        <f t="array" ref="H32">IF(H28="","",INDEX(Personaldaten!$J$3:$J$53,MATCH(H28,Personaldaten!$B$3:$B$53,0)))</f>
        <v>Waffenreinigen</v>
      </c>
      <c r="I32" s="16" t="str">
        <f>IF(J28="","","Dienst")</f>
        <v/>
      </c>
      <c r="J32" s="15" t="str">
        <f t="array" ref="J32">IF(J28="","",INDEX(Personaldaten!$J$3:$J$53,MATCH(J28,Personaldaten!$B$3:$B$53,0)))</f>
        <v/>
      </c>
      <c r="K32" s="16" t="str">
        <f>IF(L28="","","Dienst")</f>
        <v>Dienst</v>
      </c>
      <c r="L32" s="15" t="str">
        <f t="array" ref="L32">IF(L28="","",INDEX(Personaldaten!$J$3:$J$53,MATCH(L28,Personaldaten!$B$3:$B$53,0)))</f>
        <v>Waffenreinigen</v>
      </c>
      <c r="M32" s="16" t="str">
        <f>IF(N28="","","Dienst")</f>
        <v>Dienst</v>
      </c>
      <c r="N32" s="15" t="str">
        <f t="array" ref="N32">IF(N28="","",INDEX(Personaldaten!$J$3:$J$53,MATCH(N28,Personaldaten!$B$3:$B$53,0)))</f>
        <v>Revierreinigen</v>
      </c>
      <c r="O32" s="16" t="str">
        <f>IF(P28="","","Dienst")</f>
        <v/>
      </c>
      <c r="P32" s="15" t="str">
        <f t="array" ref="P32">IF(P28="","",INDEX(Personaldaten!$J$3:$J$53,MATCH(P28,Personaldaten!$B$3:$B$53,0)))</f>
        <v/>
      </c>
      <c r="Q32" s="16" t="str">
        <f>IF(R28="","","Dienst")</f>
        <v/>
      </c>
      <c r="R32" s="15" t="str">
        <f t="array" ref="R32">IF(R28="","",INDEX(Personaldaten!$J$3:$J$53,MATCH(R28,Personaldaten!$B$3:$B$53,0)))</f>
        <v/>
      </c>
    </row>
    <row r="33">
      <c r="B33" s="15"/>
      <c r="D33" s="15"/>
      <c r="F33" s="15"/>
      <c r="H33" s="15"/>
      <c r="J33" s="15"/>
      <c r="L33" s="15"/>
      <c r="N33" s="15"/>
      <c r="P33" s="15"/>
      <c r="R33" s="15"/>
    </row>
    <row r="34">
      <c r="A34" s="16" t="str">
        <f t="array" ref="A34">IF(B34="","",INDEX(Personaldaten!$A$3:$A$53,MATCH(B34,Personaldaten!$B$3:$B$53,0)))</f>
        <v>Unteroffizier</v>
      </c>
      <c r="B34" s="17" t="str">
        <f>IF(Eingabetabelle!B9=0,"",Eingabetabelle!B9)</f>
        <v>Jonas Wagner</v>
      </c>
      <c r="C34" s="16" t="str">
        <f t="array" ref="C34">IF(D34="","",INDEX(Personaldaten!$A$3:$A$53,MATCH(D34,Personaldaten!$B$3:$B$53,0)))</f>
        <v>Stabsgefreiter</v>
      </c>
      <c r="D34" s="17" t="str">
        <f>IF(Eingabetabelle!D9=0,"",Eingabetabelle!D9)</f>
        <v>Jakob Richter</v>
      </c>
      <c r="E34" s="16" t="str">
        <f t="array" ref="E34">IF(F34="","",INDEX(Personaldaten!$A$3:$A$53,MATCH(F34,Personaldaten!$B$3:$B$53,0)))</f>
        <v>Gefreiter</v>
      </c>
      <c r="F34" s="17" t="str">
        <f>IF(Eingabetabelle!F9=0,"",Eingabetabelle!F9)</f>
        <v>Erik Braun</v>
      </c>
      <c r="G34" s="16" t="str">
        <f t="array" ref="G34">IF(H34="","",INDEX(Personaldaten!$A$3:$A$53,MATCH(H34,Personaldaten!$B$3:$B$53,0)))</f>
        <v/>
      </c>
      <c r="H34" s="17" t="str">
        <f>IF(Eingabetabelle!H9=0,"",Eingabetabelle!H9)</f>
        <v/>
      </c>
      <c r="I34" s="16" t="str">
        <f t="array" ref="I34">IF(J34="","",INDEX(Personaldaten!$A$3:$A$53,MATCH(J34,Personaldaten!$B$3:$B$53,0)))</f>
        <v/>
      </c>
      <c r="J34" s="17" t="str">
        <f>IF(Eingabetabelle!J9=0,"",Eingabetabelle!J9)</f>
        <v/>
      </c>
      <c r="K34" s="16" t="str">
        <f t="array" ref="K34">IF(L34="","",INDEX(Personaldaten!$A$3:$A$53,MATCH(L34,Personaldaten!$B$3:$B$53,0)))</f>
        <v>Obergefreiter</v>
      </c>
      <c r="L34" s="17" t="str">
        <f>IF(Eingabetabelle!L9=0,"",Eingabetabelle!L9)</f>
        <v>Sebastian Jäger</v>
      </c>
      <c r="M34" s="16" t="str">
        <f t="array" ref="M34">IF(N34="","",INDEX(Personaldaten!$A$3:$A$53,MATCH(N34,Personaldaten!$B$3:$B$53,0)))</f>
        <v/>
      </c>
      <c r="N34" s="17" t="str">
        <f>IF(Eingabetabelle!N9=0,"",Eingabetabelle!N9)</f>
        <v/>
      </c>
      <c r="O34" s="16" t="str">
        <f t="array" ref="O34">IF(P34="","",INDEX(Personaldaten!$A$3:$A$53,MATCH(P34,Personaldaten!$B$3:$B$53,0)))</f>
        <v/>
      </c>
      <c r="P34" s="17" t="str">
        <f>IF(Eingabetabelle!P9=0,"",Eingabetabelle!P9)</f>
        <v/>
      </c>
      <c r="Q34" s="16" t="str">
        <f t="array" ref="Q34">IF(R34="","",INDEX(Personaldaten!$A$3:$A$53,MATCH(R34,Personaldaten!$B$3:$B$53,0)))</f>
        <v/>
      </c>
      <c r="R34" s="17" t="str">
        <f>IF(Eingabetabelle!R9=0,"",Eingabetabelle!R9)</f>
        <v/>
      </c>
    </row>
    <row r="35">
      <c r="A35" s="18" t="str">
        <f>IF(B34="","","Einberufung")</f>
        <v>Einberufung</v>
      </c>
      <c r="B35" s="19">
        <f t="array" ref="B35">IF(B34="","",INDEX(Personaldaten!$C$3:$C$53,MATCH(B34,Personaldaten!$B$3:$B$53,0)))</f>
        <v>45641</v>
      </c>
      <c r="C35" s="18" t="str">
        <f>IF(D34="","","Einberufung")</f>
        <v>Einberufung</v>
      </c>
      <c r="D35" s="19">
        <f t="array" ref="D35">IF(D34="","",INDEX(Personaldaten!$C$3:$C$53,MATCH(D34,Personaldaten!$B$3:$B$53,0)))</f>
        <v>45748</v>
      </c>
      <c r="E35" s="18" t="str">
        <f>IF(F34="","","Einberufung")</f>
        <v>Einberufung</v>
      </c>
      <c r="F35" s="19">
        <f t="array" ref="F35">IF(F34="","",INDEX(Personaldaten!$C$3:$C$53,MATCH(F34,Personaldaten!$B$3:$B$53,0)))</f>
        <v>45853</v>
      </c>
      <c r="G35" s="18" t="str">
        <f>IF(H34="","","Einberufung")</f>
        <v/>
      </c>
      <c r="H35" s="15" t="str">
        <f t="array" ref="H35">IF(H34="","",INDEX(Personaldaten!$C$3:$C$53,MATCH(H34,Personaldaten!$B$3:$B$53,0)))</f>
        <v/>
      </c>
      <c r="I35" s="18" t="str">
        <f>IF(J34="","","Einberufung")</f>
        <v/>
      </c>
      <c r="J35" s="15" t="str">
        <f t="array" ref="J35">IF(J34="","",INDEX(Personaldaten!$C$3:$C$53,MATCH(J34,Personaldaten!$B$3:$B$53,0)))</f>
        <v/>
      </c>
      <c r="K35" s="18" t="str">
        <f>IF(L34="","","Einberufung")</f>
        <v>Einberufung</v>
      </c>
      <c r="L35" s="19">
        <f t="array" ref="L35">IF(L34="","",INDEX(Personaldaten!$C$3:$C$53,MATCH(L34,Personaldaten!$B$3:$B$53,0)))</f>
        <v>45792</v>
      </c>
      <c r="M35" s="18" t="str">
        <f>IF(N34="","","Einberufung")</f>
        <v/>
      </c>
      <c r="N35" s="15" t="str">
        <f t="array" ref="N35">IF(N34="","",INDEX(Personaldaten!$C$3:$C$53,MATCH(N34,Personaldaten!$B$3:$B$53,0)))</f>
        <v/>
      </c>
      <c r="O35" s="18" t="str">
        <f>IF(P34="","","Einberufung")</f>
        <v/>
      </c>
      <c r="P35" s="15" t="str">
        <f t="array" ref="P35">IF(P34="","",INDEX(Personaldaten!$C$3:$C$53,MATCH(P34,Personaldaten!$B$3:$B$53,0)))</f>
        <v/>
      </c>
      <c r="Q35" s="18" t="str">
        <f>IF(R34="","","Einberufung")</f>
        <v/>
      </c>
      <c r="R35" s="15" t="str">
        <f t="array" ref="R35">IF(R34="","",INDEX(Personaldaten!$C$3:$C$53,MATCH(R34,Personaldaten!$B$3:$B$53,0)))</f>
        <v/>
      </c>
    </row>
    <row r="36">
      <c r="A36" s="16" t="str">
        <f>IF(B34="","","Dienstnummer")</f>
        <v>Dienstnummer</v>
      </c>
      <c r="B36" s="15">
        <f t="array" ref="B36">IF(B34="","",INDEX(Personaldaten!$E$3:$E$53,MATCH(B34,Personaldaten!$B$3:$B$53,0)))</f>
        <v>778</v>
      </c>
      <c r="C36" s="16" t="str">
        <f>IF(D34="","","Dienstnummer")</f>
        <v>Dienstnummer</v>
      </c>
      <c r="D36" s="15">
        <f t="array" ref="D36">IF(D34="","",INDEX(Personaldaten!$E$3:$E$53,MATCH(D34,Personaldaten!$B$3:$B$53,0)))</f>
        <v>202</v>
      </c>
      <c r="E36" s="16" t="str">
        <f>IF(F34="","","Dienstnummer")</f>
        <v>Dienstnummer</v>
      </c>
      <c r="F36" s="15">
        <f t="array" ref="F36">IF(F34="","",INDEX(Personaldaten!$E$3:$E$53,MATCH(F34,Personaldaten!$B$3:$B$53,0)))</f>
        <v>889</v>
      </c>
      <c r="G36" s="16" t="str">
        <f>IF(H34="","","Dienstnummer")</f>
        <v/>
      </c>
      <c r="H36" s="15" t="str">
        <f t="array" ref="H36">IF(H34="","",INDEX(Personaldaten!$E$3:$E$53,MATCH(H34,Personaldaten!$B$3:$B$53,0)))</f>
        <v/>
      </c>
      <c r="I36" s="16" t="str">
        <f>IF(J34="","","Dienstnummer")</f>
        <v/>
      </c>
      <c r="J36" s="15" t="str">
        <f t="array" ref="J36">IF(J34="","",INDEX(Personaldaten!$E$3:$E$53,MATCH(J34,Personaldaten!$B$3:$B$53,0)))</f>
        <v/>
      </c>
      <c r="K36" s="16" t="str">
        <f>IF(L34="","","Dienstnummer")</f>
        <v>Dienstnummer</v>
      </c>
      <c r="L36" s="15">
        <f t="array" ref="L36">IF(L34="","",INDEX(Personaldaten!$E$3:$E$53,MATCH(L34,Personaldaten!$B$3:$B$53,0)))</f>
        <v>741</v>
      </c>
      <c r="M36" s="16" t="str">
        <f>IF(N34="","","Dienstnummer")</f>
        <v/>
      </c>
      <c r="N36" s="15" t="str">
        <f t="array" ref="N36">IF(N34="","",INDEX(Personaldaten!$E$3:$E$53,MATCH(N34,Personaldaten!$B$3:$B$53,0)))</f>
        <v/>
      </c>
      <c r="O36" s="16" t="str">
        <f>IF(P34="","","Dienstnummer")</f>
        <v/>
      </c>
      <c r="P36" s="15" t="str">
        <f t="array" ref="P36">IF(P34="","",INDEX(Personaldaten!$E$3:$E$53,MATCH(P34,Personaldaten!$B$3:$B$53,0)))</f>
        <v/>
      </c>
      <c r="Q36" s="16" t="str">
        <f>IF(R34="","","Dienstnummer")</f>
        <v/>
      </c>
      <c r="R36" s="15" t="str">
        <f t="array" ref="R36">IF(R34="","",INDEX(Personaldaten!$E$3:$E$53,MATCH(R34,Personaldaten!$B$3:$B$53,0)))</f>
        <v/>
      </c>
    </row>
    <row r="37">
      <c r="A37" s="16" t="str">
        <f>IF(B34="","","Anschrift")</f>
        <v>Anschrift</v>
      </c>
      <c r="B37" s="21" t="str">
        <f t="array" ref="B37">IF(B34="","",INDEX(Personaldaten!$F$3:$F$53,MATCH(B34,Personaldaten!$B$3:$B$53,0)))</f>
        <v>Frankfurt</v>
      </c>
      <c r="C37" s="16" t="str">
        <f>IF(D34="","","Anschrift")</f>
        <v>Anschrift</v>
      </c>
      <c r="D37" s="21" t="str">
        <f t="array" ref="D37">IF(D34="","",INDEX(Personaldaten!$F$3:$F$53,MATCH(D34,Personaldaten!$B$3:$B$53,0)))</f>
        <v>Dresden</v>
      </c>
      <c r="E37" s="16" t="str">
        <f>IF(F34="","","Anschrift")</f>
        <v>Anschrift</v>
      </c>
      <c r="F37" s="21" t="str">
        <f t="array" ref="F37">IF(F34="","",INDEX(Personaldaten!$F$3:$F$53,MATCH(F34,Personaldaten!$B$3:$B$53,0)))</f>
        <v>Bonn</v>
      </c>
      <c r="G37" s="16" t="str">
        <f>IF(H34="","","Anschrift")</f>
        <v/>
      </c>
      <c r="H37" s="15" t="str">
        <f t="array" ref="H37">IF(H34="","",INDEX(Personaldaten!$F$3:$F$53,MATCH(H34,Personaldaten!$B$3:$B$53,0)))</f>
        <v/>
      </c>
      <c r="I37" s="16" t="str">
        <f>IF(J34="","","Anschrift")</f>
        <v/>
      </c>
      <c r="J37" s="15" t="str">
        <f t="array" ref="J37">IF(J34="","",INDEX(Personaldaten!$F$3:$F$53,MATCH(J34,Personaldaten!$B$3:$B$53,0)))</f>
        <v/>
      </c>
      <c r="K37" s="16" t="str">
        <f>IF(L34="","","Anschrift")</f>
        <v>Anschrift</v>
      </c>
      <c r="L37" s="21" t="str">
        <f t="array" ref="L37">IF(L34="","",INDEX(Personaldaten!$F$3:$F$53,MATCH(L34,Personaldaten!$B$3:$B$53,0)))</f>
        <v>Rostock</v>
      </c>
      <c r="M37" s="16" t="str">
        <f>IF(N34="","","Anschrift")</f>
        <v/>
      </c>
      <c r="N37" s="15" t="str">
        <f t="array" ref="N37">IF(N34="","",INDEX(Personaldaten!$F$3:$F$53,MATCH(N34,Personaldaten!$B$3:$B$53,0)))</f>
        <v/>
      </c>
      <c r="O37" s="16" t="str">
        <f>IF(P34="","","Anschrift")</f>
        <v/>
      </c>
      <c r="P37" s="15" t="str">
        <f t="array" ref="P37">IF(P34="","",INDEX(Personaldaten!$F$3:$F$53,MATCH(P34,Personaldaten!$B$3:$B$53,0)))</f>
        <v/>
      </c>
      <c r="Q37" s="16" t="str">
        <f>IF(R34="","","Anschrift")</f>
        <v/>
      </c>
      <c r="R37" s="15" t="str">
        <f t="array" ref="R37">IF(R34="","",INDEX(Personaldaten!$F$3:$F$53,MATCH(R34,Personaldaten!$B$3:$B$53,0)))</f>
        <v/>
      </c>
    </row>
    <row r="38">
      <c r="A38" s="16" t="str">
        <f>IF(B34="","","Dienst")</f>
        <v>Dienst</v>
      </c>
      <c r="B38" s="15" t="str">
        <f t="array" ref="B38">IF(B34="","",INDEX(Personaldaten!$J$3:$J$53,MATCH(B34,Personaldaten!$B$3:$B$53,0)))</f>
        <v>Parkdienst Fuhrpark</v>
      </c>
      <c r="C38" s="16" t="str">
        <f>IF(D34="","","Dienst")</f>
        <v>Dienst</v>
      </c>
      <c r="D38" s="15" t="str">
        <f t="array" ref="D38">IF(D34="","",INDEX(Personaldaten!$J$3:$J$53,MATCH(D34,Personaldaten!$B$3:$B$53,0)))</f>
        <v>Streifendienst</v>
      </c>
      <c r="E38" s="16" t="str">
        <f>IF(F34="","","Dienst")</f>
        <v>Dienst</v>
      </c>
      <c r="F38" s="15" t="str">
        <f t="array" ref="F38">IF(F34="","",INDEX(Personaldaten!$J$3:$J$53,MATCH(F34,Personaldaten!$B$3:$B$53,0)))</f>
        <v>Waffenreinigen</v>
      </c>
      <c r="G38" s="16" t="str">
        <f>IF(H34="","","Dienst")</f>
        <v/>
      </c>
      <c r="H38" s="15" t="str">
        <f t="array" ref="H38">IF(H34="","",INDEX(Personaldaten!$J$3:$J$53,MATCH(H34,Personaldaten!$B$3:$B$53,0)))</f>
        <v/>
      </c>
      <c r="I38" s="16" t="str">
        <f>IF(J34="","","Dienst")</f>
        <v/>
      </c>
      <c r="J38" s="15" t="str">
        <f t="array" ref="J38">IF(J34="","",INDEX(Personaldaten!$J$3:$J$53,MATCH(J34,Personaldaten!$B$3:$B$53,0)))</f>
        <v/>
      </c>
      <c r="K38" s="16" t="str">
        <f>IF(L34="","","Dienst")</f>
        <v>Dienst</v>
      </c>
      <c r="L38" s="15" t="str">
        <f t="array" ref="L38">IF(L34="","",INDEX(Personaldaten!$J$3:$J$53,MATCH(L34,Personaldaten!$B$3:$B$53,0)))</f>
        <v>Revierreinigen</v>
      </c>
      <c r="M38" s="16" t="str">
        <f>IF(N34="","","Dienst")</f>
        <v/>
      </c>
      <c r="N38" s="15" t="str">
        <f t="array" ref="N38">IF(N34="","",INDEX(Personaldaten!$J$3:$J$53,MATCH(N34,Personaldaten!$B$3:$B$53,0)))</f>
        <v/>
      </c>
      <c r="O38" s="16" t="str">
        <f>IF(P34="","","Dienst")</f>
        <v/>
      </c>
      <c r="P38" s="15" t="str">
        <f t="array" ref="P38">IF(P34="","",INDEX(Personaldaten!$J$3:$J$53,MATCH(P34,Personaldaten!$B$3:$B$53,0)))</f>
        <v/>
      </c>
      <c r="Q38" s="16" t="str">
        <f>IF(R34="","","Dienst")</f>
        <v/>
      </c>
      <c r="R38" s="15" t="str">
        <f t="array" ref="R38">IF(R34="","",INDEX(Personaldaten!$J$3:$J$53,MATCH(R34,Personaldaten!$B$3:$B$53,0)))</f>
        <v/>
      </c>
    </row>
    <row r="39">
      <c r="B39" s="15"/>
      <c r="D39" s="15"/>
      <c r="F39" s="15"/>
      <c r="H39" s="15"/>
      <c r="J39" s="15"/>
      <c r="L39" s="15"/>
      <c r="N39" s="15"/>
      <c r="P39" s="15"/>
      <c r="R39" s="15"/>
    </row>
    <row r="40">
      <c r="A40" s="16" t="str">
        <f t="array" ref="A40">IF(B40="","",INDEX(Personaldaten!$A$3:$A$53,MATCH(B40,Personaldaten!$B$3:$B$53,0)))</f>
        <v>Fahnenjunker</v>
      </c>
      <c r="B40" s="17" t="str">
        <f>IF(Eingabetabelle!B10=0,"",Eingabetabelle!B10)</f>
        <v>Felix Becker</v>
      </c>
      <c r="C40" s="16" t="str">
        <f t="array" ref="C40">IF(D40="","",INDEX(Personaldaten!$A$3:$A$53,MATCH(D40,Personaldaten!$B$3:$B$53,0)))</f>
        <v>Unteroffizier</v>
      </c>
      <c r="D40" s="17" t="str">
        <f>IF(Eingabetabelle!D10=0,"",Eingabetabelle!D10)</f>
        <v>Moritz Klein</v>
      </c>
      <c r="E40" s="16" t="str">
        <f t="array" ref="E40">IF(F40="","",INDEX(Personaldaten!$A$3:$A$53,MATCH(F40,Personaldaten!$B$3:$B$53,0)))</f>
        <v>Hauptgefreiter</v>
      </c>
      <c r="F40" s="17" t="str">
        <f>IF(Eingabetabelle!F10=0,"",Eingabetabelle!F10)</f>
        <v>Jan Krüger</v>
      </c>
      <c r="G40" s="16" t="str">
        <f t="array" ref="G40">IF(H40="","",INDEX(Personaldaten!$A$3:$A$53,MATCH(H40,Personaldaten!$B$3:$B$53,0)))</f>
        <v/>
      </c>
      <c r="H40" s="17" t="str">
        <f>IF(Eingabetabelle!H10=0,"",Eingabetabelle!H10)</f>
        <v/>
      </c>
      <c r="I40" s="16" t="str">
        <f t="array" ref="I40">IF(J40="","",INDEX(Personaldaten!$A$3:$A$53,MATCH(J40,Personaldaten!$B$3:$B$53,0)))</f>
        <v/>
      </c>
      <c r="J40" s="17" t="str">
        <f>IF(Eingabetabelle!J10=0,"",Eingabetabelle!J10)</f>
        <v/>
      </c>
      <c r="K40" s="16" t="str">
        <f t="array" ref="K40">IF(L40="","",INDEX(Personaldaten!$A$3:$A$53,MATCH(L40,Personaldaten!$B$3:$B$53,0)))</f>
        <v>Schütze</v>
      </c>
      <c r="L40" s="17" t="str">
        <f>IF(Eingabetabelle!L10=0,"",Eingabetabelle!L10)</f>
        <v>Tobias Schütz</v>
      </c>
      <c r="M40" s="16" t="str">
        <f t="array" ref="M40">IF(N40="","",INDEX(Personaldaten!$A$3:$A$53,MATCH(N40,Personaldaten!$B$3:$B$53,0)))</f>
        <v/>
      </c>
      <c r="N40" s="17" t="str">
        <f>IF(Eingabetabelle!N10=0,"",Eingabetabelle!N10)</f>
        <v/>
      </c>
      <c r="O40" s="16" t="str">
        <f t="array" ref="O40">IF(P40="","",INDEX(Personaldaten!$A$3:$A$53,MATCH(P40,Personaldaten!$B$3:$B$53,0)))</f>
        <v/>
      </c>
      <c r="P40" s="17" t="str">
        <f>IF(Eingabetabelle!P10=0,"",Eingabetabelle!P10)</f>
        <v/>
      </c>
      <c r="Q40" s="16" t="str">
        <f t="array" ref="Q40">IF(R40="","",INDEX(Personaldaten!$A$3:$A$53,MATCH(R40,Personaldaten!$B$3:$B$53,0)))</f>
        <v/>
      </c>
      <c r="R40" s="17" t="str">
        <f>IF(Eingabetabelle!R10=0,"",Eingabetabelle!R10)</f>
        <v/>
      </c>
    </row>
    <row r="41">
      <c r="A41" s="18" t="str">
        <f>IF(B40="","","Einberufung")</f>
        <v>Einberufung</v>
      </c>
      <c r="B41" s="19">
        <f t="array" ref="B41">IF(B40="","",INDEX(Personaldaten!$C$3:$C$53,MATCH(B40,Personaldaten!$B$3:$B$53,0)))</f>
        <v>45658</v>
      </c>
      <c r="C41" s="18" t="str">
        <f>IF(D40="","","Einberufung")</f>
        <v>Einberufung</v>
      </c>
      <c r="D41" s="19">
        <f t="array" ref="D41">IF(D40="","",INDEX(Personaldaten!$C$3:$C$53,MATCH(D40,Personaldaten!$B$3:$B$53,0)))</f>
        <v>45762</v>
      </c>
      <c r="E41" s="18" t="str">
        <f>IF(F40="","","Einberufung")</f>
        <v>Einberufung</v>
      </c>
      <c r="F41" s="19">
        <f t="array" ref="F41">IF(F40="","",INDEX(Personaldaten!$C$3:$C$53,MATCH(F40,Personaldaten!$B$3:$B$53,0)))</f>
        <v>45870</v>
      </c>
      <c r="G41" s="18" t="str">
        <f>IF(H40="","","Einberufung")</f>
        <v/>
      </c>
      <c r="H41" s="15" t="str">
        <f t="array" ref="H41">IF(H40="","",INDEX(Personaldaten!$C$3:$C$53,MATCH(H40,Personaldaten!$B$3:$B$53,0)))</f>
        <v/>
      </c>
      <c r="I41" s="18" t="str">
        <f>IF(J40="","","Einberufung")</f>
        <v/>
      </c>
      <c r="J41" s="15" t="str">
        <f t="array" ref="J41">IF(J40="","",INDEX(Personaldaten!$C$3:$C$53,MATCH(J40,Personaldaten!$B$3:$B$53,0)))</f>
        <v/>
      </c>
      <c r="K41" s="18" t="str">
        <f>IF(L40="","","Einberufung")</f>
        <v>Einberufung</v>
      </c>
      <c r="L41" s="19">
        <f t="array" ref="L41">IF(L40="","",INDEX(Personaldaten!$C$3:$C$53,MATCH(L40,Personaldaten!$B$3:$B$53,0)))</f>
        <v>45809</v>
      </c>
      <c r="M41" s="18" t="str">
        <f>IF(N40="","","Einberufung")</f>
        <v/>
      </c>
      <c r="N41" s="15" t="str">
        <f t="array" ref="N41">IF(N40="","",INDEX(Personaldaten!$C$3:$C$53,MATCH(N40,Personaldaten!$B$3:$B$53,0)))</f>
        <v/>
      </c>
      <c r="O41" s="18" t="str">
        <f>IF(P40="","","Einberufung")</f>
        <v/>
      </c>
      <c r="P41" s="15" t="str">
        <f t="array" ref="P41">IF(P40="","",INDEX(Personaldaten!$C$3:$C$53,MATCH(P40,Personaldaten!$B$3:$B$53,0)))</f>
        <v/>
      </c>
      <c r="Q41" s="18" t="str">
        <f>IF(R40="","","Einberufung")</f>
        <v/>
      </c>
      <c r="R41" s="15" t="str">
        <f t="array" ref="R41">IF(R40="","",INDEX(Personaldaten!$C$3:$C$53,MATCH(R40,Personaldaten!$B$3:$B$53,0)))</f>
        <v/>
      </c>
    </row>
    <row r="42">
      <c r="A42" s="16" t="str">
        <f>IF(B40="","","Dienstnummer")</f>
        <v>Dienstnummer</v>
      </c>
      <c r="B42" s="15">
        <f t="array" ref="B42">IF(B40="","",INDEX(Personaldaten!$E$3:$E$53,MATCH(B40,Personaldaten!$B$3:$B$53,0)))</f>
        <v>423</v>
      </c>
      <c r="C42" s="16" t="str">
        <f>IF(D40="","","Dienstnummer")</f>
        <v>Dienstnummer</v>
      </c>
      <c r="D42" s="15">
        <f t="array" ref="D42">IF(D40="","",INDEX(Personaldaten!$E$3:$E$53,MATCH(D40,Personaldaten!$B$3:$B$53,0)))</f>
        <v>734</v>
      </c>
      <c r="E42" s="16" t="str">
        <f>IF(F40="","","Dienstnummer")</f>
        <v>Dienstnummer</v>
      </c>
      <c r="F42" s="15">
        <f t="array" ref="F42">IF(F40="","",INDEX(Personaldaten!$E$3:$E$53,MATCH(F40,Personaldaten!$B$3:$B$53,0)))</f>
        <v>142</v>
      </c>
      <c r="G42" s="16" t="str">
        <f>IF(H40="","","Dienstnummer")</f>
        <v/>
      </c>
      <c r="H42" s="15" t="str">
        <f t="array" ref="H42">IF(H40="","",INDEX(Personaldaten!$E$3:$E$53,MATCH(H40,Personaldaten!$B$3:$B$53,0)))</f>
        <v/>
      </c>
      <c r="I42" s="16" t="str">
        <f>IF(J40="","","Dienstnummer")</f>
        <v/>
      </c>
      <c r="J42" s="15" t="str">
        <f t="array" ref="J42">IF(J40="","",INDEX(Personaldaten!$E$3:$E$53,MATCH(J40,Personaldaten!$B$3:$B$53,0)))</f>
        <v/>
      </c>
      <c r="K42" s="16" t="str">
        <f>IF(L40="","","Dienstnummer")</f>
        <v>Dienstnummer</v>
      </c>
      <c r="L42" s="15">
        <f t="array" ref="L42">IF(L40="","",INDEX(Personaldaten!$E$3:$E$53,MATCH(L40,Personaldaten!$B$3:$B$53,0)))</f>
        <v>109</v>
      </c>
      <c r="M42" s="16" t="str">
        <f>IF(N40="","","Dienstnummer")</f>
        <v/>
      </c>
      <c r="N42" s="15" t="str">
        <f t="array" ref="N42">IF(N40="","",INDEX(Personaldaten!$E$3:$E$53,MATCH(N40,Personaldaten!$B$3:$B$53,0)))</f>
        <v/>
      </c>
      <c r="O42" s="16" t="str">
        <f>IF(P40="","","Dienstnummer")</f>
        <v/>
      </c>
      <c r="P42" s="15" t="str">
        <f t="array" ref="P42">IF(P40="","",INDEX(Personaldaten!$E$3:$E$53,MATCH(P40,Personaldaten!$B$3:$B$53,0)))</f>
        <v/>
      </c>
      <c r="Q42" s="16" t="str">
        <f>IF(R40="","","Dienstnummer")</f>
        <v/>
      </c>
      <c r="R42" s="15" t="str">
        <f t="array" ref="R42">IF(R40="","",INDEX(Personaldaten!$E$3:$E$53,MATCH(R40,Personaldaten!$B$3:$B$53,0)))</f>
        <v/>
      </c>
    </row>
    <row r="43">
      <c r="A43" s="16" t="str">
        <f>IF(B40="","","Anschrift")</f>
        <v>Anschrift</v>
      </c>
      <c r="B43" s="21" t="str">
        <f t="array" ref="B43">IF(B40="","",INDEX(Personaldaten!$F$3:$F$53,MATCH(B40,Personaldaten!$B$3:$B$53,0)))</f>
        <v>Stuttgart</v>
      </c>
      <c r="C43" s="16" t="str">
        <f>IF(D40="","","Anschrift")</f>
        <v>Anschrift</v>
      </c>
      <c r="D43" s="21" t="str">
        <f t="array" ref="D43">IF(D40="","",INDEX(Personaldaten!$F$3:$F$53,MATCH(D40,Personaldaten!$B$3:$B$53,0)))</f>
        <v>Hannover</v>
      </c>
      <c r="E43" s="16" t="str">
        <f>IF(F40="","","Anschrift")</f>
        <v>Anschrift</v>
      </c>
      <c r="F43" s="21" t="str">
        <f t="array" ref="F43">IF(F40="","",INDEX(Personaldaten!$F$3:$F$53,MATCH(F40,Personaldaten!$B$3:$B$53,0)))</f>
        <v>Münster</v>
      </c>
      <c r="G43" s="16" t="str">
        <f>IF(H40="","","Anschrift")</f>
        <v/>
      </c>
      <c r="H43" s="15" t="str">
        <f t="array" ref="H43">IF(H40="","",INDEX(Personaldaten!$F$3:$F$53,MATCH(H40,Personaldaten!$B$3:$B$53,0)))</f>
        <v/>
      </c>
      <c r="I43" s="16" t="str">
        <f>IF(J40="","","Anschrift")</f>
        <v/>
      </c>
      <c r="J43" s="15" t="str">
        <f t="array" ref="J43">IF(J40="","",INDEX(Personaldaten!$F$3:$F$53,MATCH(J40,Personaldaten!$B$3:$B$53,0)))</f>
        <v/>
      </c>
      <c r="K43" s="16" t="str">
        <f>IF(L40="","","Anschrift")</f>
        <v>Anschrift</v>
      </c>
      <c r="L43" s="21" t="str">
        <f t="array" ref="L43">IF(L40="","",INDEX(Personaldaten!$F$3:$F$53,MATCH(L40,Personaldaten!$B$3:$B$53,0)))</f>
        <v>Kassel</v>
      </c>
      <c r="M43" s="16" t="str">
        <f>IF(N40="","","Anschrift")</f>
        <v/>
      </c>
      <c r="N43" s="15" t="str">
        <f t="array" ref="N43">IF(N40="","",INDEX(Personaldaten!$F$3:$F$53,MATCH(N40,Personaldaten!$B$3:$B$53,0)))</f>
        <v/>
      </c>
      <c r="O43" s="16" t="str">
        <f>IF(P40="","","Anschrift")</f>
        <v/>
      </c>
      <c r="P43" s="15" t="str">
        <f t="array" ref="P43">IF(P40="","",INDEX(Personaldaten!$F$3:$F$53,MATCH(P40,Personaldaten!$B$3:$B$53,0)))</f>
        <v/>
      </c>
      <c r="Q43" s="16" t="str">
        <f>IF(R40="","","Anschrift")</f>
        <v/>
      </c>
      <c r="R43" s="15" t="str">
        <f t="array" ref="R43">IF(R40="","",INDEX(Personaldaten!$F$3:$F$53,MATCH(R40,Personaldaten!$B$3:$B$53,0)))</f>
        <v/>
      </c>
    </row>
    <row r="44">
      <c r="A44" s="16" t="str">
        <f>IF(B40="","","Dienst")</f>
        <v>Dienst</v>
      </c>
      <c r="B44" s="15" t="str">
        <f t="array" ref="B44">IF(B40="","",INDEX(Personaldaten!$J$3:$J$53,MATCH(B40,Personaldaten!$B$3:$B$53,0)))</f>
        <v>Waffenreinigen</v>
      </c>
      <c r="C44" s="16" t="str">
        <f>IF(D40="","","Dienst")</f>
        <v>Dienst</v>
      </c>
      <c r="D44" s="15" t="str">
        <f t="array" ref="D44">IF(D40="","",INDEX(Personaldaten!$J$3:$J$53,MATCH(D40,Personaldaten!$B$3:$B$53,0)))</f>
        <v>Gefreiter vom Dienst</v>
      </c>
      <c r="E44" s="16" t="str">
        <f>IF(F40="","","Dienst")</f>
        <v>Dienst</v>
      </c>
      <c r="F44" s="15" t="str">
        <f t="array" ref="F44">IF(F40="","",INDEX(Personaldaten!$J$3:$J$53,MATCH(F40,Personaldaten!$B$3:$B$53,0)))</f>
        <v>Streifendienst</v>
      </c>
      <c r="G44" s="16" t="str">
        <f>IF(H40="","","Dienst")</f>
        <v/>
      </c>
      <c r="H44" s="15" t="str">
        <f t="array" ref="H44">IF(H40="","",INDEX(Personaldaten!$J$3:$J$53,MATCH(H40,Personaldaten!$B$3:$B$53,0)))</f>
        <v/>
      </c>
      <c r="I44" s="16" t="str">
        <f>IF(J40="","","Dienst")</f>
        <v/>
      </c>
      <c r="J44" s="15" t="str">
        <f t="array" ref="J44">IF(J40="","",INDEX(Personaldaten!$J$3:$J$53,MATCH(J40,Personaldaten!$B$3:$B$53,0)))</f>
        <v/>
      </c>
      <c r="K44" s="16" t="str">
        <f>IF(L40="","","Dienst")</f>
        <v>Dienst</v>
      </c>
      <c r="L44" s="15" t="str">
        <f t="array" ref="L44">IF(L40="","",INDEX(Personaldaten!$J$3:$J$53,MATCH(L40,Personaldaten!$B$3:$B$53,0)))</f>
        <v>Parkdienst Fuhrpark</v>
      </c>
      <c r="M44" s="16" t="str">
        <f>IF(N40="","","Dienst")</f>
        <v/>
      </c>
      <c r="N44" s="15" t="str">
        <f t="array" ref="N44">IF(N40="","",INDEX(Personaldaten!$J$3:$J$53,MATCH(N40,Personaldaten!$B$3:$B$53,0)))</f>
        <v/>
      </c>
      <c r="O44" s="16" t="str">
        <f>IF(P40="","","Dienst")</f>
        <v/>
      </c>
      <c r="P44" s="15" t="str">
        <f t="array" ref="P44">IF(P40="","",INDEX(Personaldaten!$J$3:$J$53,MATCH(P40,Personaldaten!$B$3:$B$53,0)))</f>
        <v/>
      </c>
      <c r="Q44" s="16" t="str">
        <f>IF(R40="","","Dienst")</f>
        <v/>
      </c>
      <c r="R44" s="15" t="str">
        <f t="array" ref="R44">IF(R40="","",INDEX(Personaldaten!$J$3:$J$53,MATCH(R40,Personaldaten!$B$3:$B$53,0)))</f>
        <v/>
      </c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mergeCells count="10">
    <mergeCell ref="M3:N3"/>
    <mergeCell ref="O3:P3"/>
    <mergeCell ref="Q3:R3"/>
    <mergeCell ref="E1:G1"/>
    <mergeCell ref="A3:B3"/>
    <mergeCell ref="C3:D3"/>
    <mergeCell ref="E3:F3"/>
    <mergeCell ref="G3:H3"/>
    <mergeCell ref="I3:J3"/>
    <mergeCell ref="K3:L3"/>
  </mergeCells>
  <drawing r:id="rId1"/>
</worksheet>
</file>